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9194104B-7F34-46C3-AD51-AA185784361E}" xr6:coauthVersionLast="36" xr6:coauthVersionMax="36" xr10:uidLastSave="{00000000-0000-0000-0000-000000000000}"/>
  <bookViews>
    <workbookView xWindow="0" yWindow="0" windowWidth="18525" windowHeight="7125" activeTab="1" xr2:uid="{00000000-000D-0000-FFFF-FFFF00000000}"/>
  </bookViews>
  <sheets>
    <sheet name="团队临时自用禁外传" sheetId="1" r:id="rId1"/>
    <sheet name="星" sheetId="2" r:id="rId2"/>
    <sheet name="弹" sheetId="3" r:id="rId3"/>
    <sheet name="弦" sheetId="4" r:id="rId4"/>
    <sheet name="泡" sheetId="5" r:id="rId5"/>
  </sheets>
  <externalReferences>
    <externalReference r:id="rId6"/>
  </externalReferences>
  <definedNames>
    <definedName name="_xlnm._FilterDatabase" localSheetId="2" hidden="1">弹!$A$1:$O$194</definedName>
    <definedName name="_xlnm._FilterDatabase" localSheetId="4" hidden="1">泡!$A$1:$L$254</definedName>
    <definedName name="_xlnm._FilterDatabase" localSheetId="3" hidden="1">弦!$A$1:$L$191</definedName>
    <definedName name="_xlnm._FilterDatabase" localSheetId="1" hidden="1">星!$A$1:$AML$179</definedName>
  </definedNames>
  <calcPr calcId="191029"/>
</workbook>
</file>

<file path=xl/calcChain.xml><?xml version="1.0" encoding="utf-8"?>
<calcChain xmlns="http://schemas.openxmlformats.org/spreadsheetml/2006/main">
  <c r="K243" i="5" l="1"/>
  <c r="J243" i="5"/>
  <c r="I243" i="5"/>
  <c r="H243" i="5"/>
  <c r="G243" i="5"/>
  <c r="F243" i="5"/>
  <c r="E243" i="5"/>
  <c r="D243" i="5"/>
  <c r="K196" i="5"/>
  <c r="J196" i="5"/>
  <c r="I196" i="5"/>
  <c r="H196" i="5"/>
  <c r="G196" i="5"/>
  <c r="F196" i="5"/>
  <c r="E196" i="5"/>
  <c r="D196" i="5"/>
  <c r="K187" i="5"/>
  <c r="J187" i="5"/>
  <c r="I187" i="5"/>
  <c r="H187" i="5"/>
  <c r="G187" i="5"/>
  <c r="F187" i="5"/>
  <c r="E187" i="5"/>
  <c r="D187" i="5"/>
  <c r="K176" i="5"/>
  <c r="J176" i="5"/>
  <c r="I176" i="5"/>
  <c r="H176" i="5"/>
  <c r="G176" i="5"/>
  <c r="F176" i="5"/>
  <c r="E176" i="5"/>
  <c r="D176" i="5"/>
  <c r="K162" i="5"/>
  <c r="J162" i="5"/>
  <c r="I162" i="5"/>
  <c r="H162" i="5"/>
  <c r="G162" i="5"/>
  <c r="F162" i="5"/>
  <c r="E162" i="5"/>
  <c r="D162" i="5"/>
  <c r="K160" i="5"/>
  <c r="J160" i="5"/>
  <c r="I160" i="5"/>
  <c r="H160" i="5"/>
  <c r="G160" i="5"/>
  <c r="F160" i="5"/>
  <c r="E160" i="5"/>
  <c r="D160" i="5"/>
  <c r="K156" i="5"/>
  <c r="J156" i="5"/>
  <c r="I156" i="5"/>
  <c r="H156" i="5"/>
  <c r="G156" i="5"/>
  <c r="F156" i="5"/>
  <c r="E156" i="5"/>
  <c r="D156" i="5"/>
  <c r="K155" i="5"/>
  <c r="J155" i="5"/>
  <c r="I155" i="5"/>
  <c r="H155" i="5"/>
  <c r="G155" i="5"/>
  <c r="F155" i="5"/>
  <c r="E155" i="5"/>
  <c r="D155" i="5"/>
  <c r="K134" i="5"/>
  <c r="J134" i="5"/>
  <c r="I134" i="5"/>
  <c r="H134" i="5"/>
  <c r="G134" i="5"/>
  <c r="F134" i="5"/>
  <c r="E134" i="5"/>
  <c r="D134" i="5"/>
  <c r="K103" i="5"/>
  <c r="J103" i="5"/>
  <c r="I103" i="5"/>
  <c r="H103" i="5"/>
  <c r="G103" i="5"/>
  <c r="F103" i="5"/>
  <c r="E103" i="5"/>
  <c r="D103" i="5"/>
  <c r="K102" i="5"/>
  <c r="J102" i="5"/>
  <c r="I102" i="5"/>
  <c r="H102" i="5"/>
  <c r="G102" i="5"/>
  <c r="F102" i="5"/>
  <c r="E102" i="5"/>
  <c r="D102" i="5"/>
  <c r="K97" i="5"/>
  <c r="J97" i="5"/>
  <c r="I97" i="5"/>
  <c r="H97" i="5"/>
  <c r="G97" i="5"/>
  <c r="F97" i="5"/>
  <c r="E97" i="5"/>
  <c r="D97" i="5"/>
  <c r="K95" i="5"/>
  <c r="J95" i="5"/>
  <c r="I95" i="5"/>
  <c r="H95" i="5"/>
  <c r="G95" i="5"/>
  <c r="F95" i="5"/>
  <c r="E95" i="5"/>
  <c r="D95" i="5"/>
  <c r="K94" i="5"/>
  <c r="J94" i="5"/>
  <c r="I94" i="5"/>
  <c r="H94" i="5"/>
  <c r="G94" i="5"/>
  <c r="F94" i="5"/>
  <c r="E94" i="5"/>
  <c r="D94" i="5"/>
  <c r="K88" i="5"/>
  <c r="J88" i="5"/>
  <c r="I88" i="5"/>
  <c r="H88" i="5"/>
  <c r="G88" i="5"/>
  <c r="F88" i="5"/>
  <c r="E88" i="5"/>
  <c r="D88" i="5"/>
  <c r="K87" i="5"/>
  <c r="J87" i="5"/>
  <c r="I87" i="5"/>
  <c r="H87" i="5"/>
  <c r="G87" i="5"/>
  <c r="F87" i="5"/>
  <c r="E87" i="5"/>
  <c r="D87" i="5"/>
  <c r="K76" i="5"/>
  <c r="J76" i="5"/>
  <c r="I76" i="5"/>
  <c r="H76" i="5"/>
  <c r="G76" i="5"/>
  <c r="F76" i="5"/>
  <c r="E76" i="5"/>
  <c r="D76" i="5"/>
  <c r="K63" i="5"/>
  <c r="J63" i="5"/>
  <c r="I63" i="5"/>
  <c r="H63" i="5"/>
  <c r="G63" i="5"/>
  <c r="F63" i="5"/>
  <c r="E63" i="5"/>
  <c r="D63" i="5"/>
  <c r="K62" i="5"/>
  <c r="J62" i="5"/>
  <c r="I62" i="5"/>
  <c r="H62" i="5"/>
  <c r="G62" i="5"/>
  <c r="F62" i="5"/>
  <c r="E62" i="5"/>
  <c r="D62" i="5"/>
  <c r="K50" i="5"/>
  <c r="J50" i="5"/>
  <c r="I50" i="5"/>
  <c r="H50" i="5"/>
  <c r="G50" i="5"/>
  <c r="F50" i="5"/>
  <c r="E50" i="5"/>
  <c r="D50" i="5"/>
  <c r="K47" i="5"/>
  <c r="J47" i="5"/>
  <c r="I47" i="5"/>
  <c r="H47" i="5"/>
  <c r="G47" i="5"/>
  <c r="F47" i="5"/>
  <c r="E47" i="5"/>
  <c r="D47" i="5"/>
</calcChain>
</file>

<file path=xl/sharedStrings.xml><?xml version="1.0" encoding="utf-8"?>
<sst xmlns="http://schemas.openxmlformats.org/spreadsheetml/2006/main" count="7290" uniqueCount="3175">
  <si>
    <t>2020年S9赛季星弹弦泡四模新歌爆气表说明</t>
  </si>
  <si>
    <t>感谢以下朋友的赞助！</t>
  </si>
  <si>
    <t>昵称</t>
  </si>
  <si>
    <t>赞助金额</t>
  </si>
  <si>
    <t>QQ</t>
  </si>
  <si>
    <t>广告语</t>
  </si>
  <si>
    <r>
      <rPr>
        <sz val="14"/>
        <color rgb="FF000000"/>
        <rFont val="黑体"/>
        <family val="3"/>
        <charset val="134"/>
      </rPr>
      <t>此表包含</t>
    </r>
    <r>
      <rPr>
        <b/>
        <sz val="14"/>
        <color rgb="FF000000"/>
        <rFont val="黑体"/>
        <family val="3"/>
        <charset val="134"/>
      </rPr>
      <t>6-10星</t>
    </r>
    <r>
      <rPr>
        <sz val="14"/>
        <color rgb="FF000000"/>
        <rFont val="黑体"/>
        <family val="3"/>
        <charset val="134"/>
      </rPr>
      <t>新歌，测点为</t>
    </r>
    <r>
      <rPr>
        <b/>
        <sz val="14"/>
        <color rgb="FF000000"/>
        <rFont val="黑体"/>
        <family val="3"/>
        <charset val="134"/>
      </rPr>
      <t>手打</t>
    </r>
    <r>
      <rPr>
        <sz val="14"/>
        <color rgb="FF000000"/>
        <rFont val="黑体"/>
        <family val="3"/>
        <charset val="134"/>
      </rPr>
      <t>+</t>
    </r>
    <r>
      <rPr>
        <b/>
        <sz val="14"/>
        <color rgb="FF000000"/>
        <rFont val="黑体"/>
        <family val="3"/>
        <charset val="134"/>
      </rPr>
      <t>机测</t>
    </r>
    <r>
      <rPr>
        <sz val="14"/>
        <color rgb="FF000000"/>
        <rFont val="黑体"/>
        <family val="3"/>
        <charset val="134"/>
      </rPr>
      <t>最高分点。
如有任何问题，请联系QQ：1792609090</t>
    </r>
  </si>
  <si>
    <t>爱人</t>
  </si>
  <si>
    <t>双系统接排位冲榜，王座满分.代刷喇叭花赞.</t>
  </si>
  <si>
    <t>爆气表描述说明</t>
  </si>
  <si>
    <t>mono</t>
  </si>
  <si>
    <t>养猪养鱼要努力</t>
  </si>
  <si>
    <r>
      <rPr>
        <b/>
        <sz val="13"/>
        <color theme="1"/>
        <rFont val="宋体"/>
        <family val="3"/>
        <charset val="134"/>
        <scheme val="minor"/>
      </rPr>
      <t xml:space="preserve">爆点cb描述：
      </t>
    </r>
    <r>
      <rPr>
        <sz val="13"/>
        <color theme="1"/>
        <rFont val="宋体"/>
        <family val="3"/>
        <charset val="134"/>
        <scheme val="minor"/>
      </rPr>
      <t>cb栏和描述栏的</t>
    </r>
    <r>
      <rPr>
        <b/>
        <sz val="13"/>
        <color theme="1"/>
        <rFont val="宋体"/>
        <family val="3"/>
        <charset val="134"/>
        <scheme val="minor"/>
      </rPr>
      <t>A、B</t>
    </r>
    <r>
      <rPr>
        <sz val="13"/>
        <color theme="1"/>
        <rFont val="宋体"/>
        <family val="3"/>
        <charset val="134"/>
        <scheme val="minor"/>
      </rPr>
      <t>均对应歌曲的</t>
    </r>
    <r>
      <rPr>
        <b/>
        <sz val="13"/>
        <color theme="1"/>
        <rFont val="宋体"/>
        <family val="3"/>
        <charset val="134"/>
        <scheme val="minor"/>
      </rPr>
      <t>第一、第二段</t>
    </r>
    <r>
      <rPr>
        <sz val="13"/>
        <color theme="1"/>
        <rFont val="宋体"/>
        <family val="3"/>
        <charset val="134"/>
        <scheme val="minor"/>
      </rPr>
      <t>，</t>
    </r>
    <r>
      <rPr>
        <b/>
        <sz val="13"/>
        <color theme="1"/>
        <rFont val="宋体"/>
        <family val="3"/>
        <charset val="134"/>
        <scheme val="minor"/>
      </rPr>
      <t>E</t>
    </r>
    <r>
      <rPr>
        <sz val="13"/>
        <color theme="1"/>
        <rFont val="宋体"/>
        <family val="3"/>
        <charset val="134"/>
        <scheme val="minor"/>
      </rPr>
      <t>表示</t>
    </r>
    <r>
      <rPr>
        <b/>
        <sz val="13"/>
        <color theme="1"/>
        <rFont val="宋体"/>
        <family val="3"/>
        <charset val="134"/>
        <scheme val="minor"/>
      </rPr>
      <t>爆气结束位置</t>
    </r>
    <r>
      <rPr>
        <sz val="13"/>
        <color theme="1"/>
        <rFont val="宋体"/>
        <family val="3"/>
        <charset val="134"/>
        <scheme val="minor"/>
      </rPr>
      <t>。表中数字均代表</t>
    </r>
    <r>
      <rPr>
        <b/>
        <sz val="13"/>
        <color theme="1"/>
        <rFont val="宋体"/>
        <family val="3"/>
        <charset val="134"/>
        <scheme val="minor"/>
      </rPr>
      <t>对应键形的</t>
    </r>
    <r>
      <rPr>
        <b/>
        <sz val="13"/>
        <color rgb="FF00B050"/>
        <rFont val="宋体"/>
        <family val="3"/>
        <charset val="134"/>
        <scheme val="minor"/>
      </rPr>
      <t>cb序数</t>
    </r>
    <r>
      <rPr>
        <sz val="13"/>
        <color theme="1"/>
        <rFont val="宋体"/>
        <family val="3"/>
        <charset val="134"/>
        <scheme val="minor"/>
      </rPr>
      <t>，例如A100表示右上角显示99cb时，下一个点的位置。
      如果是条按住爆的键形，cb数则表示</t>
    </r>
    <r>
      <rPr>
        <b/>
        <sz val="13"/>
        <color theme="1"/>
        <rFont val="宋体"/>
        <family val="3"/>
        <charset val="134"/>
        <scheme val="minor"/>
      </rPr>
      <t>按下爆气时右上角的</t>
    </r>
    <r>
      <rPr>
        <b/>
        <sz val="13"/>
        <color rgb="FF00B050"/>
        <rFont val="宋体"/>
        <family val="3"/>
        <charset val="134"/>
        <scheme val="minor"/>
      </rPr>
      <t>cb数达到的数值</t>
    </r>
    <r>
      <rPr>
        <sz val="13"/>
        <color theme="1"/>
        <rFont val="宋体"/>
        <family val="3"/>
        <charset val="134"/>
        <scheme val="minor"/>
      </rPr>
      <t>，例如A103（100cb直条按住3cb）表示在条按住、并且右上角达到103时按下爆气。</t>
    </r>
    <r>
      <rPr>
        <b/>
        <sz val="13"/>
        <color rgb="FF00B050"/>
        <rFont val="宋体"/>
        <family val="3"/>
        <charset val="134"/>
        <scheme val="minor"/>
      </rPr>
      <t>（一切以描述为准）</t>
    </r>
    <r>
      <rPr>
        <sz val="13"/>
        <color theme="1"/>
        <rFont val="宋体"/>
        <family val="3"/>
        <charset val="134"/>
        <scheme val="minor"/>
      </rPr>
      <t xml:space="preserve">
      条按住1cb的时长一般在</t>
    </r>
    <r>
      <rPr>
        <b/>
        <sz val="13"/>
        <color rgb="FF00B050"/>
        <rFont val="宋体"/>
        <family val="3"/>
        <charset val="134"/>
        <scheme val="minor"/>
      </rPr>
      <t>0.05s到0.1s</t>
    </r>
    <r>
      <rPr>
        <sz val="13"/>
        <color theme="1"/>
        <rFont val="宋体"/>
        <family val="3"/>
        <charset val="134"/>
        <scheme val="minor"/>
      </rPr>
      <t>之间，如果反应不够可以直接条开，并在结尾压上线，请自行把握。</t>
    </r>
  </si>
  <si>
    <t>瓜弟</t>
  </si>
  <si>
    <t>*********</t>
  </si>
  <si>
    <t>瓜爱理姨</t>
  </si>
  <si>
    <t>青</t>
  </si>
  <si>
    <t>青仔会得到爱情的！</t>
  </si>
  <si>
    <t>小小罂</t>
  </si>
  <si>
    <t>戏精学院友谊长长久久</t>
  </si>
  <si>
    <t>酷酷</t>
  </si>
  <si>
    <t>酷酷和帅轩轻舞最佳情侣！</t>
  </si>
  <si>
    <t>间歇性焦虑</t>
  </si>
  <si>
    <t>ios作业加q了解一下！</t>
  </si>
  <si>
    <t>团队成员（按拼音首字母排序）：</t>
  </si>
  <si>
    <t>掠殺</t>
  </si>
  <si>
    <t>游戏不倒我们不散</t>
  </si>
  <si>
    <t>明哲</t>
  </si>
  <si>
    <t>录屏 - 弦月6-8星</t>
  </si>
  <si>
    <t>轻舞 - 李明哲</t>
  </si>
  <si>
    <t>摘星</t>
  </si>
  <si>
    <t>瓜弟和星星对理姨的爱</t>
  </si>
  <si>
    <t>木桃</t>
  </si>
  <si>
    <t>录屏 - 星动7星、弹珠8星</t>
  </si>
  <si>
    <t>我爱豆豆 豆豆是我的</t>
  </si>
  <si>
    <t>绝戈</t>
  </si>
  <si>
    <t>绝戈书香友谊地久天长</t>
  </si>
  <si>
    <t>书香</t>
  </si>
  <si>
    <t>录屏 - 星动9、10星、弹珠6星</t>
  </si>
  <si>
    <t>美女安卓代打+q2042499075（抢小严生意）</t>
  </si>
  <si>
    <t>小小痴</t>
  </si>
  <si>
    <t>思豆</t>
  </si>
  <si>
    <t>排版、校对</t>
  </si>
  <si>
    <t>星弹自制，佛系做谱谱+q384009605</t>
  </si>
  <si>
    <t>月下柳梢</t>
  </si>
  <si>
    <t>隼</t>
  </si>
  <si>
    <t>录屏 - 弹珠9、10星，代码编写，描述填写</t>
  </si>
  <si>
    <t>星弹弦自制定制+q1792609090</t>
  </si>
  <si>
    <t>单恋</t>
  </si>
  <si>
    <t>来对战中心一起打歌</t>
  </si>
  <si>
    <t>严</t>
  </si>
  <si>
    <t>录屏 - 弹珠7星、泡泡</t>
  </si>
  <si>
    <t>安卓代打+q418154591</t>
  </si>
  <si>
    <t>36D不带罩</t>
  </si>
  <si>
    <t>真理</t>
  </si>
  <si>
    <t>录屏 - 弦月8-10星</t>
  </si>
  <si>
    <t>理理！代ios排位！+q206337093</t>
  </si>
  <si>
    <t>爱慕未停.</t>
  </si>
  <si>
    <t>打赏/赞助我们</t>
  </si>
  <si>
    <t>做表不易，每一首歌的每一个点都要一遍遍手打asp、找点、读取cb、写入开始和结束位置描述。我们需要你们的支持和鼓励！ Ԅ(¯﹃¯ԅ)</t>
  </si>
  <si>
    <t xml:space="preserve">
     QQ：384009605            微信打赏码               支付宝打赏码
</t>
  </si>
  <si>
    <t>加入我们！</t>
  </si>
  <si>
    <t>团队招四模asp选手，需要每次更新后提供新歌asp录屏，欢迎有技术有兴趣的小伙伴加入！
（名额有限，技术大佬优先）</t>
  </si>
  <si>
    <t>广告位邀租</t>
  </si>
  <si>
    <r>
      <rPr>
        <sz val="14"/>
        <color rgb="FF000000"/>
        <rFont val="黑体"/>
        <family val="3"/>
        <charset val="134"/>
      </rPr>
      <t>赞助我们后，可以将广告语/宣传语打在备注栏内，我们将在下赛季表的首页列出您的id和一句话宣传。赞助金额高者可选择加彩加粗置顶显示。有意请联系QQ 384009605</t>
    </r>
    <r>
      <rPr>
        <sz val="16"/>
        <color rgb="FF000000"/>
        <rFont val="黑体"/>
        <family val="3"/>
        <charset val="134"/>
      </rPr>
      <t xml:space="preserve">( 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̀</t>
    </r>
    <r>
      <rPr>
        <sz val="16"/>
        <color rgb="FF000000"/>
        <rFont val="Calibri"/>
        <family val="2"/>
      </rPr>
      <t>ω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́</t>
    </r>
    <r>
      <rPr>
        <sz val="16"/>
        <color rgb="FF000000"/>
        <rFont val="黑体"/>
        <family val="3"/>
        <charset val="134"/>
      </rPr>
      <t xml:space="preserve"> )y</t>
    </r>
  </si>
  <si>
    <t>误差主要来源</t>
  </si>
  <si>
    <t>1. 极限爆气点
2. 存气结束时间估计误差
3. 弹珠个别点读数误差
4. 键形和分数跳动之间的延迟误差
5. 录屏掉帧造成的计算误差</t>
  </si>
  <si>
    <t>更新日志</t>
  </si>
  <si>
    <t>2020.09.09 更新s9歌曲
2020.09.10 标记s9赛季歌曲、未测歌曲
2020.09.18 添加老歌。星动、弹珠、弦月模式引用《S9星弹弦准》，泡泡模式引用《S8星弹弦泡》、《S7四模详细》、《菜狗专用泡泡》
2020.09.29 添加ssp曲目</t>
  </si>
  <si>
    <t>新歌没表</t>
  </si>
  <si>
    <t>首字母</t>
  </si>
  <si>
    <t>星级</t>
  </si>
  <si>
    <t>歌名</t>
  </si>
  <si>
    <t>cb1</t>
  </si>
  <si>
    <t>描述1</t>
  </si>
  <si>
    <t>cb2</t>
  </si>
  <si>
    <t>描述2</t>
  </si>
  <si>
    <t>指数</t>
  </si>
  <si>
    <t>单排cb</t>
  </si>
  <si>
    <t>单排技能</t>
  </si>
  <si>
    <t>描述</t>
  </si>
  <si>
    <t>半cb</t>
  </si>
  <si>
    <t>*</t>
  </si>
  <si>
    <t>404星系</t>
  </si>
  <si>
    <t>A192</t>
  </si>
  <si>
    <t>A：三轨条按住1cb
E：三轨拐条右拐</t>
  </si>
  <si>
    <t>B545</t>
  </si>
  <si>
    <t>B：二轨拐条按住1cb
E：二轨拐条左拐</t>
  </si>
  <si>
    <t>爆气</t>
  </si>
  <si>
    <t>じゃあね。</t>
  </si>
  <si>
    <t>B662</t>
  </si>
  <si>
    <t>B：四轨拐条
E：三轨直条</t>
  </si>
  <si>
    <t>B833</t>
  </si>
  <si>
    <t>B：一轨直条尾爆四轨单点
E：三轨单点</t>
  </si>
  <si>
    <t>极限</t>
  </si>
  <si>
    <t>コミュニケーション</t>
  </si>
  <si>
    <t>B338</t>
  </si>
  <si>
    <t>B：2轨连续两个点后，爆4轨短直条
E：4轨┓条尾</t>
  </si>
  <si>
    <t>B427</t>
  </si>
  <si>
    <t>B：3轨连续两个点后，爆1轨短直条
E：1轨┏条尾</t>
  </si>
  <si>
    <t>パラボラ</t>
  </si>
  <si>
    <t>A73</t>
  </si>
  <si>
    <t>A：四轨条按住3cb
E：三轨条</t>
  </si>
  <si>
    <t>A228</t>
  </si>
  <si>
    <t>A：三轨拐条
E：三轨单点</t>
  </si>
  <si>
    <t>アネモネ</t>
  </si>
  <si>
    <t>A696</t>
  </si>
  <si>
    <t>A：691四轨滑条按住左滑时爆（存）
E：1-2滑键+四轨条左拐</t>
  </si>
  <si>
    <t>B1149</t>
  </si>
  <si>
    <t>B：二轨拐条前二轨单点
E：1-2滑键+4轨左滑</t>
  </si>
  <si>
    <t>A691</t>
  </si>
  <si>
    <t>A：二轨单点+四轨拐条
E：1-2滑键+四轨条左拐</t>
  </si>
  <si>
    <t>ソンナコトナイヨ</t>
  </si>
  <si>
    <t>A398</t>
  </si>
  <si>
    <t>A：393一轨拐条右拐
E：一轨单点+三轨拐条右拐</t>
  </si>
  <si>
    <t>B991</t>
  </si>
  <si>
    <t>B：985四轨拐条左拐
E：三轨条左拐+四轨单点</t>
  </si>
  <si>
    <t>ペガサス幻想</t>
  </si>
  <si>
    <t>B735</t>
  </si>
  <si>
    <t>B：导歌，左手条在2轨后，右滑时爆&amp;4轨三连点
E：一串连点后，2轨左滑键</t>
  </si>
  <si>
    <t>B881</t>
  </si>
  <si>
    <t>B：第二次“say yi si ya”：左条按住，马上爆4轨拐条
E：4轨条按住，1轨条右滑尾</t>
  </si>
  <si>
    <t>ミスターフィクサー</t>
  </si>
  <si>
    <t>A204</t>
  </si>
  <si>
    <t>A：195四轨长直条后，爆4轨小拐条 
E：第二次条尾&amp;滑键</t>
  </si>
  <si>
    <t>B614</t>
  </si>
  <si>
    <t>B：605一轨长直条后，爆1轨小拐条 
E：第二次条尾&amp;滑键</t>
  </si>
  <si>
    <t>オラシオン</t>
  </si>
  <si>
    <t>A155</t>
  </si>
  <si>
    <t>A：二轨直条+3-4滑键后爆四轨单点
E：一三轨单点</t>
  </si>
  <si>
    <t>A432</t>
  </si>
  <si>
    <t>A：428cb三轨拐条右滑+2-1滑键
E：二轨点+四轨条</t>
  </si>
  <si>
    <t>ボタン</t>
  </si>
  <si>
    <t>B1010</t>
  </si>
  <si>
    <t>B：1003cb4-3滑键后，让一轨单点，三轨条右滑时爆
E：一轨二连点+三四轨拐条结束</t>
  </si>
  <si>
    <t>B1178</t>
  </si>
  <si>
    <t>B：二轨点后爆一轨拐条开头+四轨点
E：一轨条+四轨点</t>
  </si>
  <si>
    <t>ようこそジャパリパークへ</t>
  </si>
  <si>
    <t>A289</t>
  </si>
  <si>
    <t>A：副歌中，四组双滑键后，爆2&amp;3轨双条
E：双拐条第四拐：1&amp;3双右滑时</t>
  </si>
  <si>
    <t>B794</t>
  </si>
  <si>
    <t>B：四组双滑键后，爆2轨┓条尾&amp;右手第二个滑键
E：1&amp;3轨双条中</t>
  </si>
  <si>
    <t>A</t>
  </si>
  <si>
    <t>爱投罗网</t>
  </si>
  <si>
    <t>A110</t>
  </si>
  <si>
    <t>A：导歌开，爆第二次短直条：3轨短条
E：2轨条左滑&amp;4轨单点</t>
  </si>
  <si>
    <t>B436</t>
  </si>
  <si>
    <t>B：4轨单点后，爆4轨条
E：2轨直条中</t>
  </si>
  <si>
    <t>B440</t>
  </si>
  <si>
    <t>B：4轨单点后，4轨条左滑时爆&amp;1轨右滑条
E：2轨直条尾&amp;3轨直条头</t>
  </si>
  <si>
    <t>爱不老</t>
  </si>
  <si>
    <t>A127</t>
  </si>
  <si>
    <t>B418</t>
  </si>
  <si>
    <t>B：三轨短直条后，过两单点，爆1&amp;3轨双点                   E：3轨单点后，紧接的条头</t>
  </si>
  <si>
    <t>A：三个散点后，4轨按住，左滑时爆                   E：3轨二连点</t>
  </si>
  <si>
    <t>Apple Is A</t>
  </si>
  <si>
    <t>A153</t>
  </si>
  <si>
    <t>A：导歌第二小句，2轨短条后，爆1-2的2轨单点
E：4轨直条尾&amp;2轨单点</t>
  </si>
  <si>
    <t>B333</t>
  </si>
  <si>
    <t>B：1轨右滑条后，爆4轨单点
E：2轨单点</t>
  </si>
  <si>
    <t>二爆看一下</t>
  </si>
  <si>
    <t>Astronomia</t>
  </si>
  <si>
    <t>A623</t>
  </si>
  <si>
    <t>A：612四轨拐条，爆第四拐：3轨右滑&amp;1轨条（双爆）
E：4轨条中&amp;3轨左滑时</t>
  </si>
  <si>
    <t>B661</t>
  </si>
  <si>
    <t>B：右-左楼梯拐后，爆第二次双拐：1&amp;3轨双右滑
E：1轨条中&amp;2轨右滑时</t>
  </si>
  <si>
    <t>Autopilot</t>
  </si>
  <si>
    <t>B425</t>
  </si>
  <si>
    <t>B：连续两个滑键后，爆2&amp;3轨交互连点
E：1-2轨单点后，3轨右滑键</t>
  </si>
  <si>
    <t>B714</t>
  </si>
  <si>
    <t>B：712三轨短直条：条按住2cb爆
E：1-2-3-4第四个：4轨单点（散点吃完）</t>
  </si>
  <si>
    <t>爱上你</t>
  </si>
  <si>
    <t>A295</t>
  </si>
  <si>
    <t>A：3轨二连点后，1轨条按住，过2cb爆
E：右拐条后，第四个单点：2轨</t>
  </si>
  <si>
    <t>B780</t>
  </si>
  <si>
    <t>B：2轨二连点后，4轨条按住，过2cb爆
E：右拐条后，第四个单点：3轨</t>
  </si>
  <si>
    <t>B864</t>
  </si>
  <si>
    <t>B</t>
  </si>
  <si>
    <t>不完美的完美</t>
  </si>
  <si>
    <t>A323</t>
  </si>
  <si>
    <t>A：300左拐条后，爆4轨单点（假）
E：3轨条尾&amp;2轨滑键</t>
  </si>
  <si>
    <t>B682</t>
  </si>
  <si>
    <t>B：4轨点接条后，2轨条按住，过2cb爆
E：右拐条后，2轨二连点</t>
  </si>
  <si>
    <t>背对背拥抱</t>
  </si>
  <si>
    <t>A360</t>
  </si>
  <si>
    <t>A：副歌最后，过1轨右滑键，爆2&amp;4轨双点接双条
E：右手按住，1轨二连点</t>
  </si>
  <si>
    <t>B625</t>
  </si>
  <si>
    <t>B：高潮开始，4轨左滑键后，爆2&amp;4轨双点
E：1&amp;#轨双长条尾</t>
  </si>
  <si>
    <t>Bad Girl</t>
  </si>
  <si>
    <t>B493</t>
  </si>
  <si>
    <t>B：主歌，多个散点后，爆1&amp;3轨双直条
E：4轨二连点后，第二个单点：2轨单点</t>
  </si>
  <si>
    <t>B：副歌开，第二次直条（1轨）按住，爆4轨单点
E：右手拐条中：4轨左滑时</t>
  </si>
  <si>
    <t>Bo Peep Bo Peep</t>
  </si>
  <si>
    <t>A264</t>
  </si>
  <si>
    <t>A：4轨单点后，爆2-3-4第一个单点：2轨点（存）
E：A段结束，2轨单点</t>
  </si>
  <si>
    <t>B403</t>
  </si>
  <si>
    <t>B：4轨短条后，过2轨单点，爆1轨短条
E：3轨二连点后，第四个单点：2轨单点</t>
  </si>
  <si>
    <t>BONAMANA</t>
  </si>
  <si>
    <t>B398</t>
  </si>
  <si>
    <t>B：4轨条后，爆1轨右滑条（极）
E：四次二连点后，2&amp;4轨双点（偷）</t>
  </si>
  <si>
    <t>B549</t>
  </si>
  <si>
    <t>B：2轨二连点，爆1轨短条
E：歌曲结束，2&amp;4轨双点</t>
  </si>
  <si>
    <t>Bad Romance</t>
  </si>
  <si>
    <t>B415</t>
  </si>
  <si>
    <t>B：3轨大拐条后，爆1轨二连点
E：3&amp;4轨双点紧接着4轨二连点</t>
  </si>
  <si>
    <t>B483</t>
  </si>
  <si>
    <t>B：3轨┏后，爆第二组双点：2&amp;4轨双点
E：2&amp;3双滑键</t>
  </si>
  <si>
    <t>Bright Spring</t>
  </si>
  <si>
    <t>A231</t>
  </si>
  <si>
    <t>A：第二副歌，第五次点接条，爆1轨点接条（存）
E：A段结束，2轨短尾条</t>
  </si>
  <si>
    <t>B293</t>
  </si>
  <si>
    <t>B：B开第二次长条：爆3轨条
E：1轨二连点接条，前两个单点</t>
  </si>
  <si>
    <t>B322</t>
  </si>
  <si>
    <t>B：1-4-3轨连续单点后，爆2轨二连点
E：2轨二连点</t>
  </si>
  <si>
    <t>Baby</t>
  </si>
  <si>
    <t>A126</t>
  </si>
  <si>
    <t>A：主歌最后，2轨┓爆左滑
E：3轨二连点第一个</t>
  </si>
  <si>
    <t>B340</t>
  </si>
  <si>
    <t>B：2轨左滑键后，过1单点，爆2轨条
E：3轨拐条后，1&amp;3轨单点</t>
  </si>
  <si>
    <t>爆气（非压爆带极限）</t>
  </si>
  <si>
    <t>Boys</t>
  </si>
  <si>
    <t>A258</t>
  </si>
  <si>
    <t>A：4轨滑键后，爆2&amp;3轨双直条（存）
E：A段结束，2&amp;3轨双直条尾</t>
  </si>
  <si>
    <t>B364</t>
  </si>
  <si>
    <t>B：桥段开，第二个拐条：3轨条马上右滑时爆
E：左手拐条最后一拐：2轨左滑时</t>
  </si>
  <si>
    <t>B353</t>
  </si>
  <si>
    <t>B：四个滑键后，过4轨点，爆2轨拐条
E：两次拐条后，4轨单点</t>
  </si>
  <si>
    <t>白骑士</t>
  </si>
  <si>
    <t>A118</t>
  </si>
  <si>
    <t>A：歌词“美好的侧脸”后，爆1轨短条
E：3轨二连点</t>
  </si>
  <si>
    <t>A207</t>
  </si>
  <si>
    <t>A：导歌中间，1轨单点后，爆4轨二连点（接近双爆）
E：2轨短条后，4轨条头</t>
  </si>
  <si>
    <t>不分昼夜</t>
  </si>
  <si>
    <t>A146</t>
  </si>
  <si>
    <t>A：3轨长直条按住，爆1轨单点
E：双拐条后，3轨┏条尾</t>
  </si>
  <si>
    <t>B486</t>
  </si>
  <si>
    <t>B：472右手拐条后，爆2轨左滑条
E：歌曲结束，1轨单点</t>
  </si>
  <si>
    <t>B：472右手拐条后，爆2轨左滑条
E：右拐条后，2轨二连点</t>
  </si>
  <si>
    <t>BBT?</t>
  </si>
  <si>
    <t>表白-BBT</t>
  </si>
  <si>
    <t>B368</t>
  </si>
  <si>
    <t>B：4轨短直条后，过一单点，爆3轨单点
E：1轨条中</t>
  </si>
  <si>
    <t>B689</t>
  </si>
  <si>
    <t>B：1轨短直条后，过一单点，爆2轨单点
E：4轨条中</t>
  </si>
  <si>
    <t>萧亚轩？</t>
  </si>
  <si>
    <t>表白-萧亚轩</t>
  </si>
  <si>
    <t>B290</t>
  </si>
  <si>
    <t>B：B开五次二连点后，爆4轨短条（极）
E：2轨┓条左滑尾&amp;3轨右滑键</t>
  </si>
  <si>
    <t>B550</t>
  </si>
  <si>
    <t>B：空气后，一堆散点中，爆第六个3轨单点
E：第二次1&amp;4轨双条尾</t>
  </si>
  <si>
    <t>Baby Boy</t>
  </si>
  <si>
    <t>B449</t>
  </si>
  <si>
    <t>B：B段第一次副歌开，爆1-2-3-4第一个单点：1轨单点
E：短暂空气后，1轨单点</t>
  </si>
  <si>
    <t>B713</t>
  </si>
  <si>
    <t>B：B段第二次副歌，爆2&amp;4轨双点
E：1&amp;3轨双点</t>
  </si>
  <si>
    <t>Bubble Pop!</t>
  </si>
  <si>
    <t>A328</t>
  </si>
  <si>
    <t>A：第二次副歌第三波，爆1轨短条（存）
E：A段结束，1&amp;4轨双滑键（偷）</t>
  </si>
  <si>
    <t>B：爆B开后第一次双直条：1&amp;4轨双直条
E：4-3-2轨单点紧接的2轨左滑键</t>
  </si>
  <si>
    <t>B401</t>
  </si>
  <si>
    <t>B：双直条后，第二小句：3-2-3-2爆第一个3轨单点
E：4-3-2轨单点后，紧接的2轨左滑键</t>
  </si>
  <si>
    <t>BE THERE</t>
  </si>
  <si>
    <t>A300</t>
  </si>
  <si>
    <t>A：290起第二个小拐条：4轨左滑时爆
E：右拐条尾：4轨左滑尾</t>
  </si>
  <si>
    <t>B716</t>
  </si>
  <si>
    <t>B：706起第二个小拐条：4轨左滑时爆
E：右拐条尾：4轨左滑尾</t>
  </si>
  <si>
    <t>Birthday*</t>
  </si>
  <si>
    <t>A：284起一轨短直条后，爆1轨单点（存）
E：A段结束，3轨直条尾</t>
  </si>
  <si>
    <t>B698</t>
  </si>
  <si>
    <t>B：两次条+点后，过1单点，爆2轨条&amp;3轨右滑
E：歌曲结束，1&amp;4轨双条尾</t>
  </si>
  <si>
    <t>B706</t>
  </si>
  <si>
    <t>B：698直条+右拐条，右拐条爆第二拐：4轨左滑
E：1轨直条中&amp;右拐条第二拐</t>
  </si>
  <si>
    <t>Break Up Song</t>
  </si>
  <si>
    <t>A269</t>
  </si>
  <si>
    <t>A：267cb2-1滑键+四轨点后，爆三轨点接拐条
E：三轨条</t>
  </si>
  <si>
    <t>B796</t>
  </si>
  <si>
    <t>B：二轨单点接二轨条
E：一轨条左拐+四轨单点</t>
  </si>
  <si>
    <t>Blinding Lights</t>
  </si>
  <si>
    <t>A569</t>
  </si>
  <si>
    <t>A：1轨┏条后，爆4轨条
E：2轨┓条尾</t>
  </si>
  <si>
    <t>B845</t>
  </si>
  <si>
    <t>B：4轨┓条后，爆1&amp;3轨双点
E：3轨┏条尾</t>
  </si>
  <si>
    <t>Butter Fly</t>
  </si>
  <si>
    <t>B：导歌开，爆B开第一次双拐条：2&amp;3轨双条
E：1&amp;4轨双条中（最后2cb吃不到）</t>
  </si>
  <si>
    <t>B922</t>
  </si>
  <si>
    <t>B：3&amp;4轨双点后，爆2&amp;3轨双条（接近双爆）
E：1&amp;4轨双直条尾</t>
  </si>
  <si>
    <t>C</t>
  </si>
  <si>
    <t>赤诚年少</t>
  </si>
  <si>
    <t>A159</t>
  </si>
  <si>
    <t>A：155三轨条右滑
E：一轨单点</t>
  </si>
  <si>
    <t>B656</t>
  </si>
  <si>
    <t>B：一轨单点
E：四轨单点</t>
  </si>
  <si>
    <t>Candy Pop</t>
  </si>
  <si>
    <t>A411</t>
  </si>
  <si>
    <t>A：第二次副歌开，爆2&amp;4双点（存）
E：A段结束，2&amp;3轨双条尾</t>
  </si>
  <si>
    <t>B925</t>
  </si>
  <si>
    <t>B：副歌中间，2&amp;3轨双条后，爆1&amp;4轨双点
E：双拐条后，1轨条头&amp;3轨单点</t>
  </si>
  <si>
    <t>B933</t>
  </si>
  <si>
    <t>B：爆第三次双点：2&amp;3轨双点
E：左手条右滑尾&amp;4轨条尾</t>
  </si>
  <si>
    <t>chAngE</t>
  </si>
  <si>
    <t>A472</t>
  </si>
  <si>
    <t>A：1轨直条按住，爆第一个3轨单点（存）
E：A段结束，2&amp;4轨双条：双左滑尾</t>
  </si>
  <si>
    <t>B978</t>
  </si>
  <si>
    <t>B：3轨二连点后，紧接着爆2&amp;4轨双条
E：双拐条后，第一个3轨单点</t>
  </si>
  <si>
    <t>B1032</t>
  </si>
  <si>
    <t>B：爆第二次双条：1&amp;3轨双条
E：双长条后，2-3-2第二个2轨单点</t>
  </si>
  <si>
    <t>CLEAR</t>
  </si>
  <si>
    <t>A28</t>
  </si>
  <si>
    <t>A：单点+滑键后，马上爆2&amp;4轨双条
E：右手条后，第一个单点：1轨单点</t>
  </si>
  <si>
    <t>B745</t>
  </si>
  <si>
    <t>B：3轨点接条后，爆2&amp;4轨双条
E：2轨条&amp;4轨单点后，3轨单点</t>
  </si>
  <si>
    <t>出征（大风歌）</t>
  </si>
  <si>
    <t>A481</t>
  </si>
  <si>
    <t>A：2轨二连点后，爆1&amp;3轨双条
E：1&amp;4轨双直条中</t>
  </si>
  <si>
    <t>B1171</t>
  </si>
  <si>
    <t>B：3轨二连点后，爆2&amp;4轨双条
E：1&amp;4轨双直条中</t>
  </si>
  <si>
    <t>CHINA-新春</t>
  </si>
  <si>
    <t>A97</t>
  </si>
  <si>
    <t>A：连续两组二连点后，4轨楼梯条左滑时爆
E：四个散点后，1轨┏条尾</t>
  </si>
  <si>
    <t>A486</t>
  </si>
  <si>
    <t>A：433起连续单长条，爆第七根直条：4轨直条
E：A段结束，2&amp;3轨双滑键</t>
  </si>
  <si>
    <t>D</t>
  </si>
  <si>
    <t>道听途说</t>
  </si>
  <si>
    <t>A288</t>
  </si>
  <si>
    <t>A：一轨直条右拐（存）
E：三轨单点</t>
  </si>
  <si>
    <t>B627</t>
  </si>
  <si>
    <t>B：一轨拐条右拐
E：四轨单点</t>
  </si>
  <si>
    <t>A251</t>
  </si>
  <si>
    <t>A：三轨拐条右拐
E：四轨直条</t>
  </si>
  <si>
    <t>迪士尼在逃公主</t>
  </si>
  <si>
    <t>A342</t>
  </si>
  <si>
    <t>A：337直条按住5cb
E：三轨条</t>
  </si>
  <si>
    <t>B684</t>
  </si>
  <si>
    <t>B：一轨二连点
E：二轨条</t>
  </si>
  <si>
    <t>机柜？</t>
  </si>
  <si>
    <t>冬日</t>
  </si>
  <si>
    <t>B500</t>
  </si>
  <si>
    <t>B：484右拐条后，爆1&amp;3拐双点（接双条）
E：4轨单点后，紧接的条头</t>
  </si>
  <si>
    <t>B887</t>
  </si>
  <si>
    <t>B：870左拐条，爆第二拐&amp;4轨L条
E：3轨条尾&amp;4轨单点（备注）</t>
  </si>
  <si>
    <t>大天蓬</t>
  </si>
  <si>
    <t>A：副歌第三句，爆2轨单点&amp;4轨条
E：4轨单点后，紧接的条头+点</t>
  </si>
  <si>
    <t>B944</t>
  </si>
  <si>
    <t>B：副歌第三句，爆1轨单点&amp;3轨条
E：1轨单点后，紧接的条头+点</t>
  </si>
  <si>
    <t>A：副歌第三句，爆2轨单点&amp;4轨条
E：4轨单点后，紧接的条头+点（双排一样）</t>
  </si>
  <si>
    <t>Dear Future Husband</t>
  </si>
  <si>
    <t>A：4轨┓条后，爆1轨单点
E：2轨左滑键&amp;4轨条尾</t>
  </si>
  <si>
    <t>B461</t>
  </si>
  <si>
    <t>B：B开几次直条后，右滑，爆1轨┏条尾
E：1轨条中</t>
  </si>
  <si>
    <t>Dura</t>
  </si>
  <si>
    <t>A475</t>
  </si>
  <si>
    <t>A：第六声Dura：爆1&amp;4轨双条（存）
E：A段结束，2&amp;3轨双点</t>
  </si>
  <si>
    <t>B738</t>
  </si>
  <si>
    <t>B：2轨钩子条左滑时爆&amp;4轨单点
E：左手第三个ㄈ尾&amp;4轨单点</t>
  </si>
  <si>
    <t>B784</t>
  </si>
  <si>
    <t>B：第一个右手コ条，爆左滑尾&amp;1轨单点
E：左手第三个ㄈ尾&amp;4轨单点</t>
  </si>
  <si>
    <t>大艺术家（困难版）</t>
  </si>
  <si>
    <t>B809</t>
  </si>
  <si>
    <t>B：主歌，1轨点接滑键后，爆3轨三连点
E：2&amp;4轨双条尾</t>
  </si>
  <si>
    <t>B：一爆后，过两次二连点和滑键，爆1&amp;3轨双点
E：2&amp;4轨双条中（接近双爆）</t>
  </si>
  <si>
    <t>B883</t>
  </si>
  <si>
    <t>B：1&amp;3轨コ-コ后，爆1&amp;3轨连续双点
E：2&amp;4轨双条尾</t>
  </si>
  <si>
    <t>E</t>
  </si>
  <si>
    <t>End of Time</t>
  </si>
  <si>
    <t>A143</t>
  </si>
  <si>
    <t>A：3轨右滑键后，爆2&amp;3轨双点
E：2轨二连点第一个</t>
  </si>
  <si>
    <t>B：359滑键后，2轨条按住，爆条尾&amp;4轨条
E：滑键后，双点</t>
  </si>
  <si>
    <t>Everybody Has</t>
  </si>
  <si>
    <t>A113</t>
  </si>
  <si>
    <t>A：109三轨┏条，爆3轨右滑尾
E：4轨条中（接近双爆）</t>
  </si>
  <si>
    <t>A180</t>
  </si>
  <si>
    <t>A：一爆结束后，过1单点，爆1轨单点
E：4轨条尾（接近双爆）</t>
  </si>
  <si>
    <t>A154</t>
  </si>
  <si>
    <t>A：130右长拐条后，爆第二个单点：2轨
E：4轨条尾&amp;1轨单点</t>
  </si>
  <si>
    <t>Eclipse</t>
  </si>
  <si>
    <t>A266</t>
  </si>
  <si>
    <t>A：262一轨短直条按住，爆条尾&amp;3轨单点
E：几个散点后，1轨右滑时</t>
  </si>
  <si>
    <t>B645</t>
  </si>
  <si>
    <t>B：641四轨短直条按住，爆条尾&amp;2轨单点
E：几个散点后，4轨左滑时</t>
  </si>
  <si>
    <t>Endless Story</t>
  </si>
  <si>
    <t>A1178</t>
  </si>
  <si>
    <t>A：1160二轨条+滑键后，爆2轨点&amp;4轨直条
E：右拐条第四拐&amp;1轨单点（接近双爆）</t>
  </si>
  <si>
    <t>B1287</t>
  </si>
  <si>
    <t>B：一爆3轨条结束后，爆第二个3轨单点
E：2轨条尾&amp;4轨单点（接近双爆）</t>
  </si>
  <si>
    <t>F</t>
  </si>
  <si>
    <t>复数的孤寂</t>
  </si>
  <si>
    <t>B579</t>
  </si>
  <si>
    <t>B：二轨条尾爆四轨单点
E：四轨单点</t>
  </si>
  <si>
    <t>B749</t>
  </si>
  <si>
    <t>B：748四轨直条按住1cb
E：一轨条右滑</t>
  </si>
  <si>
    <t>FULL HOUSE</t>
  </si>
  <si>
    <t>A79</t>
  </si>
  <si>
    <t>A：72三轨二连点后，爆第二个2轨单点
E：2轨二连点后，3轨单点</t>
  </si>
  <si>
    <t>B414</t>
  </si>
  <si>
    <t>B：1轨连续两个点后，爆2轨点接条
E：4轨条左滑时</t>
  </si>
  <si>
    <t>Flower</t>
  </si>
  <si>
    <t>A202</t>
  </si>
  <si>
    <t>A：1轨长直条后，3轨条按住，马上右滑时爆
E：1&amp;4轨双直条中</t>
  </si>
  <si>
    <t>B649</t>
  </si>
  <si>
    <t>B：4轨长直条后，2轨条左滑后按住2cb爆
E：1轨条右滑尾&amp;4轨单点</t>
  </si>
  <si>
    <t>Fight For You</t>
  </si>
  <si>
    <t>A58</t>
  </si>
  <si>
    <t>A：1&amp;4轨双条按住，过8cb爆
E：1&amp;4轨双条尾</t>
  </si>
  <si>
    <t>B639</t>
  </si>
  <si>
    <t>B：B开，爆1&amp;4轨双条
E：1&amp;4轨双条中</t>
  </si>
  <si>
    <t>Faded（困难版）</t>
  </si>
  <si>
    <t>A358</t>
  </si>
  <si>
    <t>A：2-3-1轨单点后，爆1&amp;4轨双长条头（极）
E：2轨条左滑尾&amp;4轨单点</t>
  </si>
  <si>
    <t>B789</t>
  </si>
  <si>
    <t>B：4-2-4-2轨单点后，爆3轨单点
E：双条后，2轨单点</t>
  </si>
  <si>
    <t>Flower Dance（困难版）</t>
  </si>
  <si>
    <t>B404</t>
  </si>
  <si>
    <t>B：四个单点后，爆3轨大拐弯
E：第三个滑键，3轨右滑键</t>
  </si>
  <si>
    <t>B462</t>
  </si>
  <si>
    <t>B：副歌中，1-2-3单点后，2-3-4爆第三个点：4轨点
E：500后第二个3轨单点（接近双爆）</t>
  </si>
  <si>
    <t>FEEL GOOD</t>
  </si>
  <si>
    <t>A462</t>
  </si>
  <si>
    <t>A：3轨条按住，右滑时爆&amp;1轨单点
E：2轨二连点后，3轨右滑键</t>
  </si>
  <si>
    <t>B953</t>
  </si>
  <si>
    <t>B：2轨条按住，左滑时爆&amp;4轨单点
E：3轨二连点后，2轨左滑键</t>
  </si>
  <si>
    <t>浮云</t>
  </si>
  <si>
    <t>A42</t>
  </si>
  <si>
    <t>A：第一次前奏末，1轨单点后，爆2轨单点&amp;4轨条
E：2&amp;4轨双点后，紧接的条头+点</t>
  </si>
  <si>
    <t>B697</t>
  </si>
  <si>
    <t>B：B开，爆2&amp;4轨连续双点
E：左手小ㄈ条后，3轨单点</t>
  </si>
  <si>
    <t>G</t>
  </si>
  <si>
    <t>Good Time</t>
  </si>
  <si>
    <t>B389</t>
  </si>
  <si>
    <t>B：连续三滑键后，爆第二组双点，1&amp;4轨双点
E：4轨┓尾条</t>
  </si>
  <si>
    <t>B491</t>
  </si>
  <si>
    <t>B：二连点后，过一单点，1轨┏条，爆右滑尾
E：左手拐条尾&amp;3轨单点</t>
  </si>
  <si>
    <t>Grand Blue</t>
  </si>
  <si>
    <t>A267</t>
  </si>
  <si>
    <t>A：四轨条按住2cb
E：三轨单点</t>
  </si>
  <si>
    <t>B416</t>
  </si>
  <si>
    <t>B：四轨二连点
E：四轨直条</t>
  </si>
  <si>
    <t>给女孩</t>
  </si>
  <si>
    <t>A331</t>
  </si>
  <si>
    <t>A：3-4滑键
E：三轨直条</t>
  </si>
  <si>
    <t>B774</t>
  </si>
  <si>
    <t>B：2-1滑键
E：二轨直条</t>
  </si>
  <si>
    <t>给未来</t>
  </si>
  <si>
    <t>A86</t>
  </si>
  <si>
    <t>A：2轨单点后，爆4轨条
E：1&amp;4轨双直条尾</t>
  </si>
  <si>
    <t>B569</t>
  </si>
  <si>
    <t>B：3轨单点后，爆1轨条
E：1&amp;4轨双直条尾</t>
  </si>
  <si>
    <t>共犯者</t>
  </si>
  <si>
    <t>B：连续两组双点后，爆1&amp;3轨双滑键
E：1&amp;3轨双直条尾</t>
  </si>
  <si>
    <t>B1315</t>
  </si>
  <si>
    <t>B：1309右拐条，爆第二拐：4轨左滑&amp;1轨单点
E：双直条后，第二个4轨单点</t>
  </si>
  <si>
    <t>Gee</t>
  </si>
  <si>
    <t>A187</t>
  </si>
  <si>
    <t>A：导歌最后，爆1&amp;4轨双条
E：2&amp;4轨双点后，3轨单点</t>
  </si>
  <si>
    <t>A551</t>
  </si>
  <si>
    <t>A：爆第三系点+条：1轨单点&amp;4轨短直条
E：2轨单点后，第一组双点</t>
  </si>
  <si>
    <t>H</t>
  </si>
  <si>
    <t>还是放不下</t>
  </si>
  <si>
    <t>B：三轨拐条按住2cb
E：四轨单点</t>
  </si>
  <si>
    <t>B736</t>
  </si>
  <si>
    <t>B：734三轨拐条按住2cb
E：四轨单点</t>
  </si>
  <si>
    <t>后来遇见他</t>
  </si>
  <si>
    <t>B375</t>
  </si>
  <si>
    <t>B：一轨条按住爆四轨条
E：一轨条+四轨点</t>
  </si>
  <si>
    <t>B626</t>
  </si>
  <si>
    <t>B：三轨单点
E：三轨单点</t>
  </si>
  <si>
    <t>Here With You</t>
  </si>
  <si>
    <t>A120</t>
  </si>
  <si>
    <t>A：变奏主歌，爆2轨条
E：4轨左滑键</t>
  </si>
  <si>
    <t>B429</t>
  </si>
  <si>
    <t>B：411后，爆第四次双点：爆1&amp;4轨双点
E：歌曲结束，2&amp;3轨双条尾</t>
  </si>
  <si>
    <t>火花</t>
  </si>
  <si>
    <t>A87</t>
  </si>
  <si>
    <t>A：变奏主歌，1轨右滑键后，爆4轨二连点第二个
E：1轨右滑键后，散点全部吃完：2轨</t>
  </si>
  <si>
    <t>B571</t>
  </si>
  <si>
    <t>B：2轨左滑键后，空气后，爆4-3-2第一个：4轨单点
E：4-3-4轨第二个：4轨单点</t>
  </si>
  <si>
    <t>好想大声说喜欢你</t>
  </si>
  <si>
    <t>A：导歌最后，爆2&amp;3轨双条
E：2轨左滑时</t>
  </si>
  <si>
    <t>B598</t>
  </si>
  <si>
    <t>B：导歌最后，3轨直条按住，爆右滑尾
E：4轨条左滑尾</t>
  </si>
  <si>
    <t>火红的萨日朗</t>
  </si>
  <si>
    <t>A216</t>
  </si>
  <si>
    <t>A：左手┓条后过三个点，爆2轨单点
E：六个散点第五个：3轨</t>
  </si>
  <si>
    <t>B542</t>
  </si>
  <si>
    <t>B：右手┏条后过三个点，爆3轨单点
E：六个散点第五个：2轨</t>
  </si>
  <si>
    <t>Happy Now</t>
  </si>
  <si>
    <t>A482</t>
  </si>
  <si>
    <t>A：427四轨直条+二轨拐条第二拐（右拐）
E：二三轨直条</t>
  </si>
  <si>
    <t>B1066</t>
  </si>
  <si>
    <t>B：1052一轨直条+三轨拐条第二拐（左拐）
E：二三轨直条</t>
  </si>
  <si>
    <t>一爆439</t>
  </si>
  <si>
    <t>Hacking to the Gate</t>
  </si>
  <si>
    <t>B818</t>
  </si>
  <si>
    <t>B：2轨条按住，3轨条按住，2轨条还有2cm左滑时爆
E：几次双点最后一组：2&amp;3轨双点</t>
  </si>
  <si>
    <t>B1080</t>
  </si>
  <si>
    <t>B：左钩子条后，过双点，爆2轨左滑键&amp;4轨单点
E：歌曲最后，倒数第二个单点：4轨单点</t>
  </si>
  <si>
    <t>B：2轨条按住，3轨条按住，2轨条还有2c左滑时爆
E：几次双点最后一组：2&amp;3轨双点</t>
  </si>
  <si>
    <t>Hey Baby 你是我的</t>
  </si>
  <si>
    <t>A242</t>
  </si>
  <si>
    <t>A：副歌中，4轨楼梯条：第一个左滑时爆
E：两次拐条后，第二个单点</t>
  </si>
  <si>
    <t>B752</t>
  </si>
  <si>
    <t>B：副歌中，1轨楼梯条：第一次右滑时爆
E：两次拐条后，第二个单点</t>
  </si>
  <si>
    <t>Hold you tonight</t>
  </si>
  <si>
    <t>A364</t>
  </si>
  <si>
    <t>A：4-3轨滑键+二轨条
E：一轨左滑+3-4滑键</t>
  </si>
  <si>
    <t>B791</t>
  </si>
  <si>
    <t>B：4-3轨滑键+二轨条
E：二轨条+右手滑键</t>
  </si>
  <si>
    <t>N</t>
  </si>
  <si>
    <t>那幕</t>
  </si>
  <si>
    <t>A665</t>
  </si>
  <si>
    <t>A：连续三次双直条后，爆2&amp;4轨双条
E：A段结束，2&amp;3双条双外滑尾（双排一样）</t>
  </si>
  <si>
    <t>B1400</t>
  </si>
  <si>
    <t>B：连续三次双直条后，爆1&amp;3轨双条
E：歌曲结束，2&amp;3双条双外滑尾（双排一样）</t>
  </si>
  <si>
    <t>B665</t>
  </si>
  <si>
    <t>B：连续三次双直条后，爆2&amp;4轨双条
E：A段结束，2&amp;3双条双外滑尾</t>
  </si>
  <si>
    <t>新加</t>
  </si>
  <si>
    <t>I</t>
  </si>
  <si>
    <t>I Found You</t>
  </si>
  <si>
    <t>A314</t>
  </si>
  <si>
    <t>A：296右拐条，爆1轨条&amp;3轨点（存）
E：A段结束，4轨单点</t>
  </si>
  <si>
    <t>B：419短直条后，过一单点，爆1轨条
E：3轨条尾&amp;1轨单点</t>
  </si>
  <si>
    <t>B300</t>
  </si>
  <si>
    <t>B：2轨单点后，3轨条按住，过4cb爆
E：A短结束，4轨单点</t>
  </si>
  <si>
    <t>I Want My Tears Back</t>
  </si>
  <si>
    <t>A580</t>
  </si>
  <si>
    <t>A：4轨单点接条按住，爆1轨二连点（极）（存）
E：A段结束，2&amp;3轨双直条尾</t>
  </si>
  <si>
    <t>B811</t>
  </si>
  <si>
    <t>B：802右手4轨条按住，左滑时爆（极）
E：双长拐条尾：2&amp;4轨双左滑尾</t>
  </si>
  <si>
    <t>B941</t>
  </si>
  <si>
    <t>B：2轨条按住，4轨条左滑时爆
E：双长拐条尾：2&amp;4轨双条左滑尾</t>
  </si>
  <si>
    <t>I Knew You Were Trouble*</t>
  </si>
  <si>
    <t>A：2轨短条后，4轨打拐条第一次左滑时爆
E：2轨单点后，3轨条中</t>
  </si>
  <si>
    <t>A：一爆后一秒左右，爆第二组双点：1&amp;4轨双点
E：左手按住条，第二个3轨单点</t>
  </si>
  <si>
    <t>ILJIDO</t>
  </si>
  <si>
    <t>B787</t>
  </si>
  <si>
    <t>B：783四轨条按住，爆1轨右滑条
E：4轨条尾&amp;1轨单点</t>
  </si>
  <si>
    <t>B1225</t>
  </si>
  <si>
    <t>B：1221三轨短直条按住，爆条尾&amp;1轨条
E：3轨直条尾&amp;2轨单点</t>
  </si>
  <si>
    <t>I Do</t>
  </si>
  <si>
    <t>A171</t>
  </si>
  <si>
    <t>A：161短直条后，爆第二个3轨单点
E：1轨条尾&amp;2轨单点</t>
  </si>
  <si>
    <t>B564</t>
  </si>
  <si>
    <t>B：557条+点后，爆第二歌滑键：2轨左滑键
E：3&amp;4轨双条尾</t>
  </si>
  <si>
    <t>In &amp; Out</t>
  </si>
  <si>
    <t>A：爆1轨条&amp;4轨点：条按住4cb爆（右条下来前）
E：左拐条最后一拐：2轨左滑</t>
  </si>
  <si>
    <t>B722</t>
  </si>
  <si>
    <t>B：一轨点&amp;4轨条：条按住4cb爆（左条下来前）
E：3轨右滑</t>
  </si>
  <si>
    <t>INSIDE IDENTITY</t>
  </si>
  <si>
    <t>A237</t>
  </si>
  <si>
    <t>A：230条+滑键后，过1单点，爆1&amp;3轨连续双点
E：1&amp;3轨双条中</t>
  </si>
  <si>
    <t>B871</t>
  </si>
  <si>
    <t>B：861拐条+滑键后，过1单点，爆2&amp;4轨连续双点
E：2&amp;4轨双条中</t>
  </si>
  <si>
    <t>J</t>
  </si>
  <si>
    <t>Jar Of Love</t>
  </si>
  <si>
    <t>A201</t>
  </si>
  <si>
    <t>A：“oh my love”1轨条后，爆3轨二连点
E：4轨二连点第一个</t>
  </si>
  <si>
    <t>B455</t>
  </si>
  <si>
    <t>B：两个滑键后，过五个点，爆3轨单点
E：右手コ条尾</t>
  </si>
  <si>
    <t>禁绝边境线</t>
  </si>
  <si>
    <t>A405</t>
  </si>
  <si>
    <t>A：1轨条&amp;4轨点后，爆2-3-2-3第一个2轨单点（存）
E：A段最后，2&amp;3轨双直条中（后2cb吃不到）</t>
  </si>
  <si>
    <t>B607</t>
  </si>
  <si>
    <t>B：第二次副歌第二句，1轨条按住，爆第一个4轨单点
E：4轨直条按住，第二个单点：2轨单点</t>
  </si>
  <si>
    <t>A357</t>
  </si>
  <si>
    <t>A：316导歌开，第五根直条（2轨）按住，爆尾&amp;3轨点
E：A段最后，2&amp;3轨双直条中（4cb吃不到）</t>
  </si>
  <si>
    <t>JELLY JELLY</t>
  </si>
  <si>
    <t>A172</t>
  </si>
  <si>
    <t>A：1轨单点后，爆1&amp;4轨双直条
E：3轨单点后，1轨右滑键</t>
  </si>
  <si>
    <t>B708</t>
  </si>
  <si>
    <t>B：最后一次副歌开始，爆1&amp;4轨双点（极）
E：3轨二连点后，1&amp;3轨双点（偷）</t>
  </si>
  <si>
    <t>K</t>
  </si>
  <si>
    <t>KNOCK KNOCK</t>
  </si>
  <si>
    <t>A99</t>
  </si>
  <si>
    <t>A：3轨向有滑键后，爆2&amp;3轨双点
E：4轨条后，2轨单点</t>
  </si>
  <si>
    <t>B235</t>
  </si>
  <si>
    <t>B：桥段最后，2轨单点后，爆2轨短条
E：右手拐条后，3轨左滑尾</t>
  </si>
  <si>
    <t>空想神话</t>
  </si>
  <si>
    <t>A252</t>
  </si>
  <si>
    <t>A：2轨条按住，爆4轨条
E：4轨二连点第一个</t>
  </si>
  <si>
    <t>B1516</t>
  </si>
  <si>
    <t>B：左手条左滑后按住，爆3轨二连点
E：1轨条中</t>
  </si>
  <si>
    <t>B1519</t>
  </si>
  <si>
    <t>L</t>
  </si>
  <si>
    <t>Look What You Made Me Do</t>
  </si>
  <si>
    <t>A184</t>
  </si>
  <si>
    <t>A：两次左滑键后，爆4-3-4轨第一个4轨点（存）
E：A段结束，1轨单点</t>
  </si>
  <si>
    <t>B226</t>
  </si>
  <si>
    <t>B：B开第一个4轨单点，右手滑键后，爆4轨单点
E：1&amp;4轨双长条尾</t>
  </si>
  <si>
    <t>B250</t>
  </si>
  <si>
    <t>B：3轨单点后，爆1轨单点
E：1&amp;4轨双长条</t>
  </si>
  <si>
    <t>Love So Soft</t>
  </si>
  <si>
    <t>A149</t>
  </si>
  <si>
    <t>A：2轨左滑键后，爆3轨单点
E：1轨直条按住，第二个单点：3轨单点</t>
  </si>
  <si>
    <t>B379</t>
  </si>
  <si>
    <t>B：1轨条按住，爆4轨左滑键（极）
E：2轨条左滑时</t>
  </si>
  <si>
    <t>Louder Now</t>
  </si>
  <si>
    <t>A：一轨单点
E：一轨条右拐</t>
  </si>
  <si>
    <t>B581</t>
  </si>
  <si>
    <t>B：577三轨条右拐
E：一轨条右拐</t>
  </si>
  <si>
    <t>凉凉（困难版）</t>
  </si>
  <si>
    <t>B807</t>
  </si>
  <si>
    <t>B：1轨条按住，爆第一个4轨单点
E：第二个2轨左滑键</t>
  </si>
  <si>
    <t>B1317</t>
  </si>
  <si>
    <t>B：1300后，4轨直条后，爆第一个3轨单点
E：1&amp;3轨双直条尾</t>
  </si>
  <si>
    <t>L.I.E</t>
  </si>
  <si>
    <t>A76</t>
  </si>
  <si>
    <t>A：4轨单点后，爆3轨二连点
E：4轨直条后，第一个4轨单点</t>
  </si>
  <si>
    <t>A213</t>
  </si>
  <si>
    <t>A：4轨单点后，爆1轨┏条
E：2轨单点后，1轨单点</t>
  </si>
  <si>
    <t>輪廻転生</t>
  </si>
  <si>
    <t>A161</t>
  </si>
  <si>
    <t>A：154右手コ条后，过滑键，爆1&amp;3轨双点
E：连续四个4轨直条后，3轨单点</t>
  </si>
  <si>
    <t>B812</t>
  </si>
  <si>
    <t>B：803二轨右滑条右滑后按住，爆4轨左滑尾
E：1/4拍散点倒数第二个：2轨单点</t>
  </si>
  <si>
    <t>LOUDER</t>
  </si>
  <si>
    <t>B1247</t>
  </si>
  <si>
    <t>B：第二次副歌第二句，爆1轨┏条尾&amp;3轨右滑条
E：1/4拍散点后，3轨右滑键</t>
  </si>
  <si>
    <t>B1494</t>
  </si>
  <si>
    <t>B：1486一轨短直条后，过2单点，爆2轨滑键&amp;
E：1/4拍散点后，3轨右滑条头</t>
  </si>
  <si>
    <t>M</t>
  </si>
  <si>
    <t>Mimimi</t>
  </si>
  <si>
    <t>A78</t>
  </si>
  <si>
    <t>A：3轨短条后，过两个点，爆2轨单点
E：1&amp;4轨双点</t>
  </si>
  <si>
    <t>B310</t>
  </si>
  <si>
    <t>B：4轨单点后，爆1-2-1的第一个单点：1轨单点
E：2轨直条后，4轨直条头</t>
  </si>
  <si>
    <t>没有选择</t>
  </si>
  <si>
    <t>A：左手两个单点后，爆4轨条（存）
E：A段结束，1轨右滑键</t>
  </si>
  <si>
    <t>B382</t>
  </si>
  <si>
    <t>B：3轨短条尾&amp;1轨点后，爆4轨单点
E：2-3-2第三个：2轨单点</t>
  </si>
  <si>
    <t>B376</t>
  </si>
  <si>
    <t>B：“如果我放弃了”爆“了”：3轨短条
E：4轨短条按住，2轨单点</t>
  </si>
  <si>
    <t>Made It</t>
  </si>
  <si>
    <t>A130</t>
  </si>
  <si>
    <t>A：三个散点后，2轨条按住，左滑时爆
E：1轨条尾&amp;3轨滑键</t>
  </si>
  <si>
    <t>B：三个散点后，3轨条按住，右滑时爆
E：4轨条尾&amp;2轨滑键</t>
  </si>
  <si>
    <t>梦游记</t>
  </si>
  <si>
    <t>A265</t>
  </si>
  <si>
    <t>A：261二轨短直条按住，爆条尾&amp;4轨单点
E：2轨条尾&amp;4轨单点</t>
  </si>
  <si>
    <t>B：连续两个滑键后，马上爆1轨单点
E：4轨┓条尾</t>
  </si>
  <si>
    <t>MY舞☆TONIGHT</t>
  </si>
  <si>
    <t>A333</t>
  </si>
  <si>
    <t>A：导歌最后，1轨条按住，右滑时爆&amp;3轨条
E：2&amp;3轨双点</t>
  </si>
  <si>
    <t>A663</t>
  </si>
  <si>
    <t>A：高潮，2&amp;4双点接双条按住，双左滑时爆
E：2&amp;4轨双条，双左滑</t>
  </si>
  <si>
    <t>M♭</t>
  </si>
  <si>
    <t>A470</t>
  </si>
  <si>
    <t>A：455右拐条后，1轨条按住，右滑时爆(存）
E：A段结束，右楼梯条尾：2轨右滑尾</t>
  </si>
  <si>
    <t>B1049</t>
  </si>
  <si>
    <t>B：2轨条按住，左滑时爆&amp;3轨单点
E：左楼梯条第二拐：2轨右滑</t>
  </si>
  <si>
    <t>A459</t>
  </si>
  <si>
    <t>New Page</t>
  </si>
  <si>
    <t>A387</t>
  </si>
  <si>
    <t>A：一轨单点（存）
E：二轨单点</t>
  </si>
  <si>
    <t>B：634四轨直条按住5cb
E：四轨单点</t>
  </si>
  <si>
    <t>B654</t>
  </si>
  <si>
    <t>B：652三轨直条按住2cb
E：二轨单点</t>
  </si>
  <si>
    <t>那年秋天</t>
  </si>
  <si>
    <t>B380</t>
  </si>
  <si>
    <t>B：二四轨双点
E：三轨单点</t>
  </si>
  <si>
    <t>B574</t>
  </si>
  <si>
    <t>B：一三轨双点
E：二轨单点</t>
  </si>
  <si>
    <t>你最最最重要</t>
  </si>
  <si>
    <t>A151</t>
  </si>
  <si>
    <t>A：副歌开，双点后，爆3轨单点
E：3轨二连点后，1轨单点（双排一样）</t>
  </si>
  <si>
    <t>B394</t>
  </si>
  <si>
    <t>B：副歌开，双点后，爆2轨单点
E：2轨二连点后，4轨单点（双排一样）</t>
  </si>
  <si>
    <t>A：副歌开，双点后，爆3轨单点
E：3轨二连点后，1轨单点</t>
  </si>
  <si>
    <t>NINETEEN</t>
  </si>
  <si>
    <t>A142</t>
  </si>
  <si>
    <t>A：1轨点接条后，爆3轨单点
E：4轨二连点后，2轨滑键</t>
  </si>
  <si>
    <t>B：4轨点接条后，爆2轨单点（假）
E：1轨二连点后，3轨滑键</t>
  </si>
  <si>
    <t>A415</t>
  </si>
  <si>
    <t>A：4轨点接条后，爆2轨单点（假）
E：1轨二连点后，3轨滑键</t>
  </si>
  <si>
    <t>你，有没有过</t>
  </si>
  <si>
    <t>B：B段第二个条+点：2轨长条开始&amp;4轨单点
E：左条按住，短暂空气后，4轨单点</t>
  </si>
  <si>
    <t>B835</t>
  </si>
  <si>
    <t>B：爆第四组双点：1&amp;4轨双点
E：3轨条右滑后按住，4轨条尾</t>
  </si>
  <si>
    <t>Need for Speed</t>
  </si>
  <si>
    <t>B948</t>
  </si>
  <si>
    <t>B：938cb一三轨双条后爆一三轨双拐条
E：二三轨双条</t>
  </si>
  <si>
    <t>B1115</t>
  </si>
  <si>
    <t>B：1105cb二四轨双条后爆二四轨双拐条
E：二三轨双条</t>
  </si>
  <si>
    <t>O</t>
  </si>
  <si>
    <t>偶像万万岁</t>
  </si>
  <si>
    <t>A66</t>
  </si>
  <si>
    <t>A：两次直条后，爆第二个4轨单点
E：连续三次双点第三组：2&amp;3轨双点（偷）</t>
  </si>
  <si>
    <t>B：尾奏中间，2轨单点后，爆1&amp;4轨双点
E：4轨直条中</t>
  </si>
  <si>
    <t>ONE&amp;ONLY</t>
  </si>
  <si>
    <t>A111</t>
  </si>
  <si>
    <t>A：109四轨拐条左拐
E：一轨条右滑</t>
  </si>
  <si>
    <t>B617</t>
  </si>
  <si>
    <t>B：一轨三联点第三个
E：一轨条右滑</t>
  </si>
  <si>
    <t>P</t>
  </si>
  <si>
    <t>PARTY</t>
  </si>
  <si>
    <t>A：138二轨拐条右拐
E：3-4滑键</t>
  </si>
  <si>
    <t>B：394三轨直条左拐
E：2-1滑键</t>
  </si>
  <si>
    <t>PARADOX</t>
  </si>
  <si>
    <t>A274</t>
  </si>
  <si>
    <t>A：265直条+左拐条，爆左拐条第二拐：2轨左滑
E：左拐条第二拐&amp;3轨滑键</t>
  </si>
  <si>
    <t>B：878直条+右拐条，爆右拐条第二拐：3轨右滑
E：右拐条第二拐&amp;2轨滑键</t>
  </si>
  <si>
    <t>Play 我呸</t>
  </si>
  <si>
    <t>B637</t>
  </si>
  <si>
    <t>B：右手┗条后，爆第四个2轨单点（双爆）
E：3轨三连点</t>
  </si>
  <si>
    <t>B：导歌第二句，2轨滑条左滑按住，爆4轨二连点接条
E：2轨条按住，4轨条尾</t>
  </si>
  <si>
    <t>Q</t>
  </si>
  <si>
    <t>千禧与手抄卷</t>
  </si>
  <si>
    <t>A：3轨短直条后，爆1轨右滑键
E：2轨条尾&amp;4轨单点</t>
  </si>
  <si>
    <t>A247</t>
  </si>
  <si>
    <t>A：4轨二连点后，爆1轨单点
E：滑键后，第三个单点：1轨</t>
  </si>
  <si>
    <t>七年的爱</t>
  </si>
  <si>
    <t>B349</t>
  </si>
  <si>
    <t>B：4轨直条后，马上爆1&amp;3轨双点（极）
E：一堆散点中，1&amp;4轨双点</t>
  </si>
  <si>
    <t>B573</t>
  </si>
  <si>
    <t>B：四个单点后，爆4轨短条
E：歌曲结束，2&amp;3轨双点</t>
  </si>
  <si>
    <t>青鸟</t>
  </si>
  <si>
    <t>A467</t>
  </si>
  <si>
    <t>A：A段第二次副歌开，爆2轨左滑键&amp;3轨右滑条
E：右手条按住，1轨左滑键</t>
  </si>
  <si>
    <t>B959</t>
  </si>
  <si>
    <t>B：B段第二次副歌开，爆2轨左滑条&amp;3轨右滑键
E：左手条按住，4轨左滑键</t>
  </si>
  <si>
    <t>A448</t>
  </si>
  <si>
    <t>A：4轨条+3轨钩子条后，爆1轨单点
E：1轨┏条尾</t>
  </si>
  <si>
    <t>B976</t>
  </si>
  <si>
    <t>B：1轨条+2轨钩子条后，爆4轨单点
E：4轨┓条尾</t>
  </si>
  <si>
    <t>R</t>
  </si>
  <si>
    <t>Right Now</t>
  </si>
  <si>
    <t>B：B开左手条按住，左滑时爆
E：双拐条尾：1&amp;4双内滑尾</t>
  </si>
  <si>
    <t>B556</t>
  </si>
  <si>
    <t>B：空气后，1轨条按住，爆右滑时
E：4轨三连点第一个</t>
  </si>
  <si>
    <t>RAINBOW</t>
  </si>
  <si>
    <t>A：284右拐条后，过滑键，爆4轨单点
E：1轨短直条尾</t>
  </si>
  <si>
    <t>B541</t>
  </si>
  <si>
    <t>B：530左拐条后，过滑键，爆1轨单点
E：4轨短直条尾</t>
  </si>
  <si>
    <t>Rolling Star</t>
  </si>
  <si>
    <t>A509</t>
  </si>
  <si>
    <t>A：第二次单拐条，1轨拐条第一次右滑时爆（存）
E：A段双长条最后两个拐弯</t>
  </si>
  <si>
    <t>B1118</t>
  </si>
  <si>
    <t>B：4-3-2-1轨连续单点后，爆2&amp;3轨双长条头
E：歌曲结束，1&amp;3轨双条，双右滑时</t>
  </si>
  <si>
    <t>B1164</t>
  </si>
  <si>
    <t>B：尾奏，双长条后，左手拐条在3轨后，左滑时爆
E：歌曲结束，1&amp;3轨双条：双右滑尾</t>
  </si>
  <si>
    <t>Rookie</t>
  </si>
  <si>
    <t>A：爆2轨单点&amp;4轨条
E：第二组1-2-3-4的第一个单点：1轨单点</t>
  </si>
  <si>
    <t>B456</t>
  </si>
  <si>
    <t>B：爆1轨条&amp;3轨单点
E：右手条后，1轨第二个单点</t>
  </si>
  <si>
    <t>Run Riot</t>
  </si>
  <si>
    <t>A235</t>
  </si>
  <si>
    <t>A：三轨L滑键后，爆二四轨双条
E：一轨单点</t>
  </si>
  <si>
    <t>B958</t>
  </si>
  <si>
    <t>B：二轨L滑键后，爆一三轨双条
E：四轨单点</t>
  </si>
  <si>
    <t>S</t>
  </si>
  <si>
    <t>时间里的小偷</t>
  </si>
  <si>
    <t>B304</t>
  </si>
  <si>
    <t>B：3轨直条后，爆2轨二连点
E：A段结束，2轨单点</t>
  </si>
  <si>
    <t>B384</t>
  </si>
  <si>
    <t>B：372左手条后，短空气，爆1轨短直条
E：左拐条第三拐：2轨右滑时</t>
  </si>
  <si>
    <t>B：372左手条后，短空气，爆1轨短直条
E：1轨条中</t>
  </si>
  <si>
    <t>Synchronise</t>
  </si>
  <si>
    <t>A243</t>
  </si>
  <si>
    <t>A：两次“ye ye ye”后，副歌开，爆1&amp;3轨双条
E：左手钩子条后，4-3-2第一个：4轨单点</t>
  </si>
  <si>
    <t>B781</t>
  </si>
  <si>
    <t>B：爆第三声“ye”：第三组双点：2&amp;4轨双点
E：1-2-3单点后，2轨条按住，左滑尾</t>
  </si>
  <si>
    <t>Sold Out</t>
  </si>
  <si>
    <t>A45</t>
  </si>
  <si>
    <t>A：41四轨短直条按住，爆条尾&amp;2轨单点
E：1轨短直条后，第三个单点</t>
  </si>
  <si>
    <t>B295</t>
  </si>
  <si>
    <t>B：连续三根短直条后，爆3轨单点
E：4轨短直条后，第三个单点</t>
  </si>
  <si>
    <t>桑堪比迈 Hapi Hapi</t>
  </si>
  <si>
    <t>A197</t>
  </si>
  <si>
    <t>A：二轨直条后爆四轨单点
E：四轨单点</t>
  </si>
  <si>
    <t>B476</t>
  </si>
  <si>
    <t>B：四轨条尾按住2cb，接一轨单点
E：1 4轨双点</t>
  </si>
  <si>
    <t>什么什么</t>
  </si>
  <si>
    <t>A100</t>
  </si>
  <si>
    <t>A：1轨长条按住，右滑时爆
E：4-3-2后，3-2-1第二个单点：2轨单点</t>
  </si>
  <si>
    <t>B：4轨长条按住，左滑时爆
E：1-2-3后，2-3-4第二个单点：3轨单点</t>
  </si>
  <si>
    <t>神秘嘉宾</t>
  </si>
  <si>
    <t>A329</t>
  </si>
  <si>
    <t>A：2轨左滑键后，爆3轨条（存）
E：A段结束，2&amp;3轨双滑键</t>
  </si>
  <si>
    <t>B428</t>
  </si>
  <si>
    <t>B：右手コ条后，过1单点，爆3轨条
E：1&amp;3轨双条尾</t>
  </si>
  <si>
    <t>B：465右滑条右滑后按住，过滑键，爆2轨单点
E：1&amp;3轨双条尾</t>
  </si>
  <si>
    <t>Sunshine, Lollipops and Rainbow</t>
  </si>
  <si>
    <t>A431</t>
  </si>
  <si>
    <t>A：四轨条左滑结束后，爆2-1拐条+3轨直条
E：一轨单点</t>
  </si>
  <si>
    <t>B1167</t>
  </si>
  <si>
    <t>B：二轨直条+3-4拐条右拐时爆
E：一轨拐条右拐+四轨拐条左拐</t>
  </si>
  <si>
    <t>Sparkling Daydream</t>
  </si>
  <si>
    <t>A338</t>
  </si>
  <si>
    <t>A：导歌最后，爆2&amp;3轨双条
E：2-3-4轨最后一个单点：4轨单点</t>
  </si>
  <si>
    <t>B979</t>
  </si>
  <si>
    <t>B：2轨滑键后，爆左手下来第一个单点：1轨单点
E：双点后，4轨单点</t>
  </si>
  <si>
    <t>SWEET TALKER</t>
  </si>
  <si>
    <t>A404</t>
  </si>
  <si>
    <t>A：2轨两个点后，爆2&amp;3轨双条                                         E：A段结束，2&amp;3轨双外滑键</t>
  </si>
  <si>
    <t>B：4轨两个点后，爆1&amp;4轨双条                                      E：4轨点接条按住，2轨左滑键</t>
  </si>
  <si>
    <t>手绘的美好</t>
  </si>
  <si>
    <t>A427</t>
  </si>
  <si>
    <t>A：3轨两个单点后，爆2轨条&amp;4轨点
E：左长拐条尾&amp;4轨滑键</t>
  </si>
  <si>
    <t>B981</t>
  </si>
  <si>
    <t>B：2轨两个单点后，爆1轨点&amp;3轨条
E：右长拐条尾&amp;1轨滑键</t>
  </si>
  <si>
    <t>Star Divine</t>
  </si>
  <si>
    <t>A369</t>
  </si>
  <si>
    <t>A：副歌第二句，爆1轨┏条尾&amp;3轨コ单点
E：1轨条中&amp;4轨单点</t>
  </si>
  <si>
    <t>B828</t>
  </si>
  <si>
    <t>B：821条+滑键后，过一单点，爆1轨点&amp;3轨滑键
E：2轨拐条尾&amp;4轨单点</t>
  </si>
  <si>
    <t>少年</t>
  </si>
  <si>
    <t>A694</t>
  </si>
  <si>
    <t>A：682右手怪条后，爆2轨单点                                          E：A段结束，1&amp;3轨双条尾</t>
  </si>
  <si>
    <t>B821</t>
  </si>
  <si>
    <t>B：滑键后，爆4-3-2-1第四个：1轨单点                                   E：1轨条中&amp;4轨条尾</t>
  </si>
  <si>
    <t>B830</t>
  </si>
  <si>
    <t>T</t>
  </si>
  <si>
    <t>Take It Off</t>
  </si>
  <si>
    <t>A283</t>
  </si>
  <si>
    <t>A：281直条按住2cb（存）
E：四轨单点</t>
  </si>
  <si>
    <t>B502</t>
  </si>
  <si>
    <t>B：499三轨直条按住2cb
E：三轨二连点</t>
  </si>
  <si>
    <t>A178</t>
  </si>
  <si>
    <t>A：二轨单点
E：二轨单点</t>
  </si>
  <si>
    <t>Telephone</t>
  </si>
  <si>
    <t>A：副歌开，爆2轨左滑条
E：右手拐条后，1轨单点</t>
  </si>
  <si>
    <t>B460</t>
  </si>
  <si>
    <t>B：高潮开，第一个ㄈ条：爆右滑尾
E：右手ㄈ条后，4轨三连点</t>
  </si>
  <si>
    <t>Timber</t>
  </si>
  <si>
    <t>B：3轨滑键后，爆1-2-3第一个：1轨单点
E：1轨三连点后，2轨三连点第一个</t>
  </si>
  <si>
    <t>B505</t>
  </si>
  <si>
    <t>B：2-3-4爆第三个：4轨单点
E：歌曲结束，4轨单点</t>
  </si>
  <si>
    <t>This Is Gonna Hurt</t>
  </si>
  <si>
    <t>A140</t>
  </si>
  <si>
    <t>A：136一轨短直条按住，爆条尾&amp;4轨条
E：3轨条尾&amp;2轨滑键</t>
  </si>
  <si>
    <t>B466</t>
  </si>
  <si>
    <t>B：462四轨短直条按住，爆条尾&amp;1轨条
E：2轨条尾&amp;3轨滑键</t>
  </si>
  <si>
    <t>to the beginning</t>
  </si>
  <si>
    <t>A332</t>
  </si>
  <si>
    <t>A：319副歌开，4轨直条按住，爆第一个2轨短直条
E：2&amp;3轨双直条中</t>
  </si>
  <si>
    <t>B1144</t>
  </si>
  <si>
    <t>B：第一次条+点后，4轨直条按住，过2cb爆
E：歌曲结束，2&amp;3轨直条尾</t>
  </si>
  <si>
    <t>The Day</t>
  </si>
  <si>
    <t>A282</t>
  </si>
  <si>
    <t>A：四组双点后，爆2轨条&amp;3轨右滑条                                  E：1轨条尾</t>
  </si>
  <si>
    <t>B434</t>
  </si>
  <si>
    <t>B：第一次副歌末，滑键后，爆2轨条&amp;4轨直条                               E：2轨条尾&amp;4轨条尾</t>
  </si>
  <si>
    <t>B1155</t>
  </si>
  <si>
    <t>TIT FOR TAT</t>
  </si>
  <si>
    <t>B453</t>
  </si>
  <si>
    <t>B：432右拐条，爆第四拐：3轨右滑条&amp;2轨滑键                                 E：4轨条尾左滑时&amp;1轨滑键</t>
  </si>
  <si>
    <t>B975</t>
  </si>
  <si>
    <t>B：954左拐条，爆第四拐：2轨左滑&amp;3轨滑键                                 E：1轨条右滑时&amp;4轨滑键</t>
  </si>
  <si>
    <t>B1111</t>
  </si>
  <si>
    <t>Tiny Light</t>
  </si>
  <si>
    <t>A631</t>
  </si>
  <si>
    <t>A：617连续四组二连点后，爆2轨左滑条&amp;3轨二连点                                 E：2轨条尾&amp;4轨二连点第一个</t>
  </si>
  <si>
    <t>B1377</t>
  </si>
  <si>
    <t>B：1363条+三连点后过五个点，爆1轨点&amp;3轨                                 E：3轨条尾&amp;2轨单点</t>
  </si>
  <si>
    <t>W</t>
  </si>
  <si>
    <t>我的回答</t>
  </si>
  <si>
    <t>B328</t>
  </si>
  <si>
    <t>B：B开2轨点+3轨条：爆3轨右滑尾&amp;1轨条右滑
E：2&amp;3轨双条：双外滑尾</t>
  </si>
  <si>
    <t>B742</t>
  </si>
  <si>
    <t>B：两次长直条后，爆1&amp;3轨双条
E：2轨条中&amp;3轨右滑时</t>
  </si>
  <si>
    <t>Will You Marry Me</t>
  </si>
  <si>
    <t>A150</t>
  </si>
  <si>
    <t>A：145三轨短直条后，爆2轨单点
E：1轨二连点</t>
  </si>
  <si>
    <t>B：451二轨短直条后，爆3轨单点
E：4轨二连点</t>
  </si>
  <si>
    <t>無限大</t>
  </si>
  <si>
    <t>A176</t>
  </si>
  <si>
    <t>A：172一轨长直条按住，过4cb爆
E：1轨单点</t>
  </si>
  <si>
    <t>B269</t>
  </si>
  <si>
    <t>B：260副歌起，爆第二次短直条：4轨条
E：1轨条尾&amp;3轨滑键</t>
  </si>
  <si>
    <t>What Makes You Beautiful</t>
  </si>
  <si>
    <t>A134</t>
  </si>
  <si>
    <t>A：两个滑键后，爆2轨二连点
E：1&amp;4轨双点</t>
  </si>
  <si>
    <t>B319</t>
  </si>
  <si>
    <t>B：两个滑键后，爆1轨二连点
E：1&amp;3轨双点</t>
  </si>
  <si>
    <t>王妃</t>
  </si>
  <si>
    <t>B405</t>
  </si>
  <si>
    <t>B：三个滑键后，过双点，爆1&amp;4轨双条
E：第二组双点：1&amp;4轨双点</t>
  </si>
  <si>
    <t>B635</t>
  </si>
  <si>
    <t>B：4个滑键后，爆1轨条
E：歌曲结束，2轨条尾</t>
  </si>
  <si>
    <t>Wonderland</t>
  </si>
  <si>
    <t>B240</t>
  </si>
  <si>
    <t>B：B开第三个键：爆第一个3轨单点
E：2&amp;3轨双外滑键</t>
  </si>
  <si>
    <t>B351</t>
  </si>
  <si>
    <t>B：两个ㄈ条后，爆3轨二连点
E：2轨左滑键&amp;4轨条左滑尾</t>
  </si>
  <si>
    <t>What Do You Mean?</t>
  </si>
  <si>
    <t>B331</t>
  </si>
  <si>
    <t>B：第一次条加点开，爆1轨条&amp;3轨单点
E：2轨条头&amp;4轨单点</t>
  </si>
  <si>
    <t>B：2轨单点&amp;4轨条后，按住条爆1轨单点
E：1轨条后，3轨二连点</t>
  </si>
  <si>
    <t>Wolves</t>
  </si>
  <si>
    <t>A147</t>
  </si>
  <si>
    <t>A：2轨条按住，爆4轨条
E：2&amp;4轨双条尾</t>
  </si>
  <si>
    <t>B783</t>
  </si>
  <si>
    <t>B：4轨条后，过2-3轨单点，爆1轨单点
E：2&amp;4故意双条尾</t>
  </si>
  <si>
    <t>晚吟</t>
  </si>
  <si>
    <t>B：776滑键后，爆第二个3轨单点
E：4轨条中&amp;第三个1轨单点</t>
  </si>
  <si>
    <t>B949</t>
  </si>
  <si>
    <t>B：947滑键后，爆第二个3轨单点
E：3轨条中&amp;第三个4轨单点</t>
  </si>
  <si>
    <t>我应该去爱你</t>
  </si>
  <si>
    <t>A386</t>
  </si>
  <si>
    <t>A：1-2-3连点后，爆2轨滑键&amp;4轨条                                  E：3轨条尾&amp;1轨右滑键</t>
  </si>
  <si>
    <t>B943</t>
  </si>
  <si>
    <t>B：4-3-2连点后，爆1轨条&amp;3轨滑键                              E：2轨条尾&amp;4轨左滑键</t>
  </si>
  <si>
    <t>Whatever You Like</t>
  </si>
  <si>
    <t>A128</t>
  </si>
  <si>
    <t>A：120左┗条后，爆3轨单点
E：左条后，四二个4轨单点</t>
  </si>
  <si>
    <t>A：248四轨直条后，爆3轨单点                                   E：3轨单点（散点吃完）</t>
  </si>
  <si>
    <t>Why do u say (Feat. MOON, ASH ISLAND)</t>
  </si>
  <si>
    <t>B782</t>
  </si>
  <si>
    <t>B：一轨单点+四轨拐条
E：一轨条右拐+4-3滑键</t>
  </si>
  <si>
    <t>B924</t>
  </si>
  <si>
    <t>B：922 四轨条按住2cb爆
E：四轨条左滑+1-2滑键</t>
  </si>
  <si>
    <t>我爱你不问归期</t>
  </si>
  <si>
    <t>A：双短直条后，3轨条：爆左滑尾&amp;2轨条                                     E：4轨条中&amp;1轨单点</t>
  </si>
  <si>
    <t>B931</t>
  </si>
  <si>
    <t>B：双短直条后，2轨条：爆右滑尾 &amp;3轨条                                   E：1轨条中&amp;4轨单点</t>
  </si>
  <si>
    <t>好难</t>
  </si>
  <si>
    <t>Why So Lonely</t>
  </si>
  <si>
    <t>B878</t>
  </si>
  <si>
    <t>B：爆连续三组双点第三组：1&amp;2轨双点（左手双指）
E：右手条按住，左手拐条右滑尾</t>
  </si>
  <si>
    <t>B1450</t>
  </si>
  <si>
    <t>B：四个L型条后，3轨条按住，马上右滑时爆
E：2轨条中&amp;4轨条尾</t>
  </si>
  <si>
    <t>无可取代</t>
  </si>
  <si>
    <t>A517</t>
  </si>
  <si>
    <t>A：3轨单点后，爆2轨左滑键&amp;3轨条（存）
E：A段结束，左手条按住，3轨右滑键</t>
  </si>
  <si>
    <t>B1012</t>
  </si>
  <si>
    <t>B：2轨┓条后，3轨右滑条爆第一次左滑：4轨左滑
E：1轨直条&amp;4轨直条中</t>
  </si>
  <si>
    <t>A516</t>
  </si>
  <si>
    <t>A：左手条和右手点后，爆3轨单点
E：A段结束，左手条按住，3轨右滑键（偷）</t>
  </si>
  <si>
    <t>Wake up!</t>
  </si>
  <si>
    <t>A224</t>
  </si>
  <si>
    <t>A：主歌最后，爆2&amp;4轨双条（极）
E：1轨二连点后，2轨左滑键</t>
  </si>
  <si>
    <t>B825</t>
  </si>
  <si>
    <t>B：2&amp;4轨双点后，爆1轨条&amp;3轨单点
E：左手条后，第一组2&amp;4双点</t>
  </si>
  <si>
    <t>X</t>
  </si>
  <si>
    <t>幸福的节拍</t>
  </si>
  <si>
    <t>B：2轨左滑键后，爆4-3-2第二个：爆3轨单点
E：1轨条尾&amp;3轨二连点第一个</t>
  </si>
  <si>
    <t>B467</t>
  </si>
  <si>
    <t>B：一爆结束过半秒，爆1轨二连点（接近双爆）
E：1轨二连点后，3轨二连点第一个</t>
  </si>
  <si>
    <t>B：一爆结束过半秒，爆1轨二连点
E：1轨二连点后，3轨二连点第一个</t>
  </si>
  <si>
    <t>修炼爱情</t>
  </si>
  <si>
    <t>B547</t>
  </si>
  <si>
    <t>B：1&amp;4轨双点后，空气后，爆1&amp;4双条
E：双点后，3轨三连点第一个</t>
  </si>
  <si>
    <t>B：2&amp;4轨双点后，爆三轨三连点
E：歌曲结束，1&amp;4轨双条尾</t>
  </si>
  <si>
    <t>炫舞国度</t>
  </si>
  <si>
    <t>A109</t>
  </si>
  <si>
    <t>A：左手倒L后，让过两个点，爆2轨左滑条
E：右手拐条，第二次左滑时</t>
  </si>
  <si>
    <t>B：2轨向左滑键后，爆3轨右滑条
E：390左手条，第二次左滑时</t>
  </si>
  <si>
    <t>小情歌</t>
  </si>
  <si>
    <t>B377</t>
  </si>
  <si>
    <t>B：主唱“唱出我们心头的”后，爆3轨右滑条
E：3轨条中</t>
  </si>
  <si>
    <t>B634</t>
  </si>
  <si>
    <t>B：第二次副歌，过两个单点，爆4轨单点
E：4-3-2第二个：3轨单点</t>
  </si>
  <si>
    <t>小星星</t>
  </si>
  <si>
    <t>A350</t>
  </si>
  <si>
    <t>A：1&amp;4轨双短条后，让过一个点，爆3轨单点
E：3轨条尾</t>
  </si>
  <si>
    <t>B801</t>
  </si>
  <si>
    <t>B：1&amp;4轨双短条后，爆2-3-2-3第一个：2轨单点
E：右手拐条中：4轨左滑时</t>
  </si>
  <si>
    <t>嚣张</t>
  </si>
  <si>
    <t>B362</t>
  </si>
  <si>
    <t>B：B开不久4轨直条后，2轨条按住，左滑时爆
E：两个散点后，3轨条头</t>
  </si>
  <si>
    <t>B511</t>
  </si>
  <si>
    <t>B：4轨短直条后，爆第二个滑键：4轨左滑键
E：3轨条尾</t>
  </si>
  <si>
    <t>嬉闹江湖</t>
  </si>
  <si>
    <t>A：113直条后，爆3轨二连点
E：3轨条右滑时</t>
  </si>
  <si>
    <t>B648</t>
  </si>
  <si>
    <t>B：4轨短直条后，爆2轨单点
E：3轨二连点</t>
  </si>
  <si>
    <t>侠客行</t>
  </si>
  <si>
    <t>A429</t>
  </si>
  <si>
    <t>A：425四轨短直条按住，爆条尾&amp;2轨二连点（存）                           E：A段结束，3轨右滑键</t>
  </si>
  <si>
    <t>B546</t>
  </si>
  <si>
    <t>B：2个散点后，3轨条按住，右滑时爆                           E：4轨直条尾&amp;2轨单点</t>
  </si>
  <si>
    <t>B748</t>
  </si>
  <si>
    <t>B：2个散点后，3轨楼梯条爆第一拐：3轨左滑时
E：1轨长直条后，第二个单点</t>
  </si>
  <si>
    <t>Y</t>
  </si>
  <si>
    <t>一起来</t>
  </si>
  <si>
    <t>A：179直条按住1cb
E：二轨直条</t>
  </si>
  <si>
    <t>B419</t>
  </si>
  <si>
    <t>B：三轨拐条按住
E：三轨直条</t>
  </si>
  <si>
    <t>雨水</t>
  </si>
  <si>
    <t>A241</t>
  </si>
  <si>
    <t>A：3轨单点后，短空气，爆2轨条
E：A段结束，4轨条尾&amp;2轨单点</t>
  </si>
  <si>
    <t>B：3轨右滑键后，爆3轨右滑条
E：3轨条尾&amp;2轨单点</t>
  </si>
  <si>
    <t>影子习惯</t>
  </si>
  <si>
    <t>B：358滑键后，过三个点，爆4轨单点
E：1轨二连点</t>
  </si>
  <si>
    <t>B442</t>
  </si>
  <si>
    <t>B：双滑键后，爆1&amp;3轨双右滑条
E：1&amp;2轨双条中</t>
  </si>
  <si>
    <t>YESTERDAY</t>
  </si>
  <si>
    <t>B594</t>
  </si>
  <si>
    <t>B：桥段开始，爆1轨单点&amp;4轨直条
E：右手条后，第一个1轨单点</t>
  </si>
  <si>
    <t>B：2轨两个单点后。爆3轨单点
E：3-2-1连续单点点第三个：1轨单点</t>
  </si>
  <si>
    <t>月色真美</t>
  </si>
  <si>
    <t>A116</t>
  </si>
  <si>
    <t>A：107一轨点+四轨条按住，爆4轨左滑尾&amp;2轨条
E：2轨条中</t>
  </si>
  <si>
    <t>B792</t>
  </si>
  <si>
    <t>B：783四轨点+一轨条按住，爆1轨右滑尾&amp;3轨条
E：3轨条中</t>
  </si>
  <si>
    <t>一吻天荒</t>
  </si>
  <si>
    <t>B650</t>
  </si>
  <si>
    <t>B：3轨条右滑后&amp;1轨条按住，过0.5-1秒爆
E：1&amp;4轨双条中/尾</t>
  </si>
  <si>
    <t>B1161</t>
  </si>
  <si>
    <t>B：1&amp;4轨双内滑后按住，0.5-1秒爆
E：2&amp;3轨双条中/尾</t>
  </si>
  <si>
    <t>B1153</t>
  </si>
  <si>
    <t>B：“不会凋零的花”爆“花”：1&amp;4轨双条双内滑时
E：2&amp;3轨双条中</t>
  </si>
  <si>
    <t>Z</t>
  </si>
  <si>
    <t>怎样说清此刻的心情</t>
  </si>
  <si>
    <t>A291</t>
  </si>
  <si>
    <t>A：双直条后过三个点，爆2轨左滑条&amp;4轨点
E：A段结束，1&amp;3轨双直条尾</t>
  </si>
  <si>
    <t>B503</t>
  </si>
  <si>
    <t>B：双直条后过三个点，爆1轨点&amp;3轨右滑条
E：2&amp;4轨双长条尾</t>
  </si>
  <si>
    <t>自从遇见你</t>
  </si>
  <si>
    <t>A214</t>
  </si>
  <si>
    <t>A：2轨直条后，爆4轨单点
E：3轨单点（散点吃完）</t>
  </si>
  <si>
    <t>B578</t>
  </si>
  <si>
    <t>B：3轨直条后，爆1轨单点
E：2轨单点（散点吃完）</t>
  </si>
  <si>
    <t>再遇不到你这样的人</t>
  </si>
  <si>
    <t>B504</t>
  </si>
  <si>
    <t>B：导歌第一句后，2轨单点后，爆1&amp;3轨双点
E：左手条按住，3轨单点</t>
  </si>
  <si>
    <t>B694</t>
  </si>
  <si>
    <t>B：副歌中，4轨短直条后，爆1轨拐条&amp;3轨单点
E：1轨直条按住，3轨二连点</t>
  </si>
  <si>
    <t>A168</t>
  </si>
  <si>
    <t>A：右手直条
E：右手白球</t>
  </si>
  <si>
    <t>B599</t>
  </si>
  <si>
    <t>B：右手条后爆左手白球
E：左手单点</t>
  </si>
  <si>
    <t>A167</t>
  </si>
  <si>
    <t>A：左手单点（压下线，或让过点爆右条）
E：右手白球</t>
  </si>
  <si>
    <t>A：173右手条，过左手连续二散点爆右手普通球
E：右手条+左手单点后，右手普通球</t>
  </si>
  <si>
    <t>B：357左手条后，爆第一次白球（右）
E：左手普通球后，右手二连点第一个</t>
  </si>
  <si>
    <t>A290</t>
  </si>
  <si>
    <t>A：276直条后左手滑球（存）
E：左手单点</t>
  </si>
  <si>
    <t>B439</t>
  </si>
  <si>
    <t>B：右手单点
E：右手直条</t>
  </si>
  <si>
    <t>A276</t>
  </si>
  <si>
    <t>A：右手直条
E：左手单点</t>
  </si>
  <si>
    <t>A233</t>
  </si>
  <si>
    <t>A：227右手条后，过左手滑球爆紧接着的右手二连点
E：连续散点后，过小段空隙接到右白球</t>
  </si>
  <si>
    <t>B621</t>
  </si>
  <si>
    <t>B：615左手条后，过右手滑球爆紧接着的左手二连点
E：连续散点后，过小段空隙接到左白球</t>
  </si>
  <si>
    <t>A：右条后爆左白球
E：右单点</t>
  </si>
  <si>
    <t>B819</t>
  </si>
  <si>
    <t>B：810左条右滑后爆右单点
E：右手条</t>
  </si>
  <si>
    <t>B606</t>
  </si>
  <si>
    <t>B：右手滑球
E：左手白球</t>
  </si>
  <si>
    <t>B683</t>
  </si>
  <si>
    <t>A：667直条后爆第四个点（左手普通球）
E：右手滑球</t>
  </si>
  <si>
    <t>A249</t>
  </si>
  <si>
    <t>A：双点
E：左单点</t>
  </si>
  <si>
    <t>B837</t>
  </si>
  <si>
    <t>B：左手条按住爆右手条
E：左单点</t>
  </si>
  <si>
    <t>B301</t>
  </si>
  <si>
    <t>B：B开第二根条（299左）按住过2cb开爆气
E：双打（散点全部吃完）</t>
  </si>
  <si>
    <t>B591</t>
  </si>
  <si>
    <t>B：高潮开始，过四个单点后爆右手普通球
E：左手二连点后，右手二连点第一个</t>
  </si>
  <si>
    <t>123我爱你(困难版)</t>
  </si>
  <si>
    <t>A309</t>
  </si>
  <si>
    <t>A：右手三连点后，爆左手连续二散点（极）
E：左白球-左单点后紧接着的双打（偷）</t>
  </si>
  <si>
    <t>B700</t>
  </si>
  <si>
    <t>B：左手普通球紧接着的左手滑球直接爆（极）
E：连续两根单长条，踩第二根（左）接到右白球（偷）</t>
  </si>
  <si>
    <t>A378</t>
  </si>
  <si>
    <t>A：左手普通球后，爆右手条&amp;左二散点
E：分组无规则四分音散点倒数第二个，446左单点</t>
  </si>
  <si>
    <t>B914</t>
  </si>
  <si>
    <t>B：905左条+右滑球后，爆夹在两对滑球&amp;点中的左点
E：踩第五次右手条吃到左手普通球后紧接着的白球</t>
  </si>
  <si>
    <t>B857</t>
  </si>
  <si>
    <t>B：847左条+右手点后，左点紧接的左条按2cb开爆气
E：双打后，紧接着的右手白球</t>
  </si>
  <si>
    <t>B1057</t>
  </si>
  <si>
    <t>B：尾奏，两个散点后爆左手条&amp;右单点
E：连续三组条&amp;点，踩第三组的右手条接到左手白球</t>
  </si>
  <si>
    <t>B205</t>
  </si>
  <si>
    <t>B：B开两次右手滑球后，爆第二个左手普通球
E：踩右手条接到左手白球</t>
  </si>
  <si>
    <t>B：rap开始，爆第二个左手滑球
E：连续无五组三连点，吃完第三组</t>
  </si>
  <si>
    <t>A：171起三根但长条后，爆右手滑球（假）（存）
E：A段结束，左手普通球</t>
  </si>
  <si>
    <t>B330</t>
  </si>
  <si>
    <t>B：323右手条后，爆左手白球（假）
E：左手普通球后，紧接着右手白球</t>
  </si>
  <si>
    <t>A：小段空气后，爆左手普通球（紧接双打）（存）
E：A段结束，连续两队双打（偷）</t>
  </si>
  <si>
    <t>B316</t>
  </si>
  <si>
    <t>B：连续两根单长条，踩312右手条爆左手普通球
E：歌曲结束，双打（偷）</t>
  </si>
  <si>
    <t>A：右手二连点
E：右手白球紧接着的右手二散点的第一个</t>
  </si>
  <si>
    <t>A268</t>
  </si>
  <si>
    <t>A：261右手条后，爆左手普通球
E：三根单长条后，右二连点之一</t>
  </si>
  <si>
    <t>B657</t>
  </si>
  <si>
    <t>B：650左手条后，爆右手普通球
E：三根单长条后，左二连点之一</t>
  </si>
  <si>
    <t>A315</t>
  </si>
  <si>
    <t>A：299连续三根单长条后，爆右手二连点第二个
E：左单点后，右手白球（散点全部吃完）</t>
  </si>
  <si>
    <t>A：右手滑球后，爆左手白球
E：踩第三次右手单长条接到左手普通球</t>
  </si>
  <si>
    <t>B408</t>
  </si>
  <si>
    <t>B：401左手条后，过两个滑球爆右手二连点
E：连续散点最后，左手普通球</t>
  </si>
  <si>
    <t>B412</t>
  </si>
  <si>
    <t>B：两个滑球后连续散点，过两组二连点爆右手白球
E：连续散点后，过右单点接到左白球&amp;右单点</t>
  </si>
  <si>
    <t>曖昧スクリーム</t>
  </si>
  <si>
    <t>A446</t>
  </si>
  <si>
    <t>A：两对双打后，过四个散点爆左手单长条
E：踩右手条接到左手单长条开头</t>
  </si>
  <si>
    <t>B909</t>
  </si>
  <si>
    <t>B：高潮中间单条后，爆右手白球
E：左手单长条开头。（双排同分</t>
  </si>
  <si>
    <t>A：226右手条后，爆左手单长条
E：连续散点最后，左手滑球</t>
  </si>
  <si>
    <t>B496</t>
  </si>
  <si>
    <t>B：489连续两根单长条，第二根（右）按2cb开始爆
E：左手二连点后，右手白球</t>
  </si>
  <si>
    <t>A：副歌第一句末，踩134右手条爆左手白球
E：右手二连点后，左手普通球</t>
  </si>
  <si>
    <t>A：二次副歌第一句末，踩206左手条爆右手白球
E：左手二连点后，右手普通球</t>
  </si>
  <si>
    <t>B388</t>
  </si>
  <si>
    <t>B：左手普通球（接连续三组双打）
E：踩左手条接到右手白球</t>
  </si>
  <si>
    <t>B：494左手条+右手点后，爆第二个左手普通球
E：踩右手条接到左手普通球</t>
  </si>
  <si>
    <t>A30</t>
  </si>
  <si>
    <t>A：踩26左手条爆右手二连点
E：下次左手条后，第三次右手连续二散点第一个</t>
  </si>
  <si>
    <t>B432</t>
  </si>
  <si>
    <t>B：420右手条后，过两组二连点爆连续两个散点第二个
E：左手白球后，左手单点（散点全部吃完）</t>
  </si>
  <si>
    <t>B431</t>
  </si>
  <si>
    <t>B：420右手条后，过两组二连点爆连续两个散点第一个
E：左手白球后，左手单点（散点全部吃完）</t>
  </si>
  <si>
    <t>B255</t>
  </si>
  <si>
    <t>B：244左手条后，爆右手白球
E：散点结束后，右手单长条开头</t>
  </si>
  <si>
    <t>B308</t>
  </si>
  <si>
    <t>B：副歌开始，右手白球后爆左手三连点第三个
E：右手三连点后，过左手单点接到右手白球</t>
  </si>
  <si>
    <t>A223</t>
  </si>
  <si>
    <t>A：第二波第三次“boys”，爆左手单长条
E：右手白球</t>
  </si>
  <si>
    <t>B363</t>
  </si>
  <si>
    <t>B：357左手条按住过6cb开爆气（右手白球落下前）
E：连续两次条+点后，右手滑球</t>
  </si>
  <si>
    <t>B387</t>
  </si>
  <si>
    <t>B：377左手条+右滑球后，爆右手白球
E：右手滑球后，过左单点接到永远是白球</t>
  </si>
  <si>
    <t>A183</t>
  </si>
  <si>
    <t>A：第二波副歌，第二根右手条（181）按住过2cb爆
E：吃完左手二连点</t>
  </si>
  <si>
    <t>B348</t>
  </si>
  <si>
    <t>B：左手三连点后，爆右手单长条
E：右手连续两个白球后，左手普通球</t>
  </si>
  <si>
    <t>B347</t>
  </si>
  <si>
    <t>B：右手滑球后，过两个散点爆左手单长条
E：连续两根长条后，左手白球</t>
  </si>
  <si>
    <t>B：542右手条后，爆左手普通球
E：双长条后，左手普通球</t>
  </si>
  <si>
    <t>A：右手普通球后，爆右手单长条
E：右手单长条后，左手条头&amp;右手滑球</t>
  </si>
  <si>
    <t>B：357左手条后，爆左手单长条
E：歌曲结束，右手普通球（偷）</t>
  </si>
  <si>
    <t>表白</t>
  </si>
  <si>
    <t>B233</t>
  </si>
  <si>
    <t>B：B开，左手二散点直接爆
E：踩左手条接到右手普通球</t>
  </si>
  <si>
    <t>B527</t>
  </si>
  <si>
    <t>B：519左手条按住过8cb开爆气
E：歌曲结束，左手普通球</t>
  </si>
  <si>
    <t>B：519左手条按住过8cb爆
E：歌曲结束，左手普通球</t>
  </si>
  <si>
    <t>Bing Bing</t>
  </si>
  <si>
    <t>A139</t>
  </si>
  <si>
    <t>A：踩135左手条爆右手普通球
E：右手白球</t>
  </si>
  <si>
    <t>B577</t>
  </si>
  <si>
    <t>B：连续两个右手滑球后，爆左手二连点
E：右手条+左手滑球后，右手普通球</t>
  </si>
  <si>
    <t>Brave Heart</t>
  </si>
  <si>
    <t>A：右手单长条后，爆右手白球（接近双爆）
E：右手普通球</t>
  </si>
  <si>
    <t>A384</t>
  </si>
  <si>
    <t>A：一爆结束过一个左单点立刻爆右手白球（接近双爆）
E：A段结束，双打</t>
  </si>
  <si>
    <t>A：右手白球
E：A段结束，双打</t>
  </si>
  <si>
    <t>B：左手普通球后，爆左手条&amp;右单点
E：右手条&amp;左单点，条中结束</t>
  </si>
  <si>
    <t>B724</t>
  </si>
  <si>
    <t>B：714左手条&amp;右单点后，爆右手普通球
E：歌曲结束，左手普通球</t>
  </si>
  <si>
    <t>B：B开过三个散点，爆左手普通球
E：连续五散点后，过小段空隙吃完左二连点</t>
  </si>
  <si>
    <t>B709</t>
  </si>
  <si>
    <t>B：699左手条后，过三个滑球爆左手普通球
E：右手白球后，过左手滑球迟到紧接着的右手</t>
  </si>
  <si>
    <t>B444</t>
  </si>
  <si>
    <t>B：第二次高潮，爆左手普通球（紧接双白球）。
E：连续两个白球（右手结束）。</t>
  </si>
  <si>
    <t>B：第三次高潮，爆左手普通球（紧接双白球）。
E：连续两个左手白球。</t>
  </si>
  <si>
    <t>A219</t>
  </si>
  <si>
    <t>A：第一次高潮第三句，左手滑球后爆左手普通球。
E：踩左手条接到右手白球。</t>
  </si>
  <si>
    <t>B530</t>
  </si>
  <si>
    <t>B：第二次高潮第三句，左手滑球后爆右手普通球。
E：左手白球（散点全部吃完）。「备注」</t>
  </si>
  <si>
    <t>A88</t>
  </si>
  <si>
    <t>A：78右手条后，爆连续散点第四个（左手白球）
E：界面变橙（100cb），第二根右手条第二个点（右）</t>
  </si>
  <si>
    <t>B343</t>
  </si>
  <si>
    <t>B：336左手条后，过右手二连点爆左手普通球
E：连续两组二连点后，过左手白球接到右手普通球</t>
  </si>
  <si>
    <t>Birthday</t>
  </si>
  <si>
    <t>A158</t>
  </si>
  <si>
    <t>A：153左手条后，爆紧接着的左手普通球
E：左手单长条后，连续普通球第一个（右）</t>
  </si>
  <si>
    <t>B397</t>
  </si>
  <si>
    <t>B：374连续三根单长条后，过四个散点爆双长条
E：右手普通球后，双打</t>
  </si>
  <si>
    <t>Be My Baby</t>
  </si>
  <si>
    <t>A275</t>
  </si>
  <si>
    <t>A：导歌第三次，两个滑球后，爆左手普通球
E：一段空气后，左手普通球第一个</t>
  </si>
  <si>
    <t>B521</t>
  </si>
  <si>
    <t>B：右手条+左单点后，爆右手普通球
E：第一组双打</t>
  </si>
  <si>
    <t>A402</t>
  </si>
  <si>
    <t>A：A段末“oh my love”oh时爆右条&amp;左滑球。（存）
E：A段结束，左手普通球。（偷）</t>
  </si>
  <si>
    <t>B918</t>
  </si>
  <si>
    <t>B：B段末“oh my love“love左手单长条直接爆。
E：歌曲结束，踩右手条接到左单点。（偷）</t>
  </si>
  <si>
    <t>B923</t>
  </si>
  <si>
    <t>B：踩第三根条（918左）爆右手白球
E：踩右手条接到左手普通球</t>
  </si>
  <si>
    <t>A420</t>
  </si>
  <si>
    <t>A：左滑球右手条按住3cb爆（存）
E：左手球</t>
  </si>
  <si>
    <t>B785</t>
  </si>
  <si>
    <t>B：775点条后过右滑球、左单点、右手二连点后爆左单点接左点右条
E：双压</t>
  </si>
  <si>
    <t>A383</t>
  </si>
  <si>
    <t>A：380直条按住3cb
E：左手白球</t>
  </si>
  <si>
    <t>A316</t>
  </si>
  <si>
    <t>A：右手单点
E：左手单点</t>
  </si>
  <si>
    <t>B820</t>
  </si>
  <si>
    <t>B：左手滑球
E：左二连点</t>
  </si>
  <si>
    <t>A：双白球后第二次副歌，爆右滑球&amp;左手普通球。（存）
E：A段结束，双打。</t>
  </si>
  <si>
    <t>B：两次条加点后第一次副歌，爆右手滑球。
E：两对双打后的双滑球</t>
  </si>
  <si>
    <t>A211</t>
  </si>
  <si>
    <t>A：高潮两组双打后，爆左手滑球
E：两组双打后，双滑球</t>
  </si>
  <si>
    <t>A53</t>
  </si>
  <si>
    <t>A：A段开头间奏，爆右手第二次白球
E：几个普通球后，左手白球</t>
  </si>
  <si>
    <t>A225</t>
  </si>
  <si>
    <t>A：按住216左手条，爆右手第二个普通球。
E：踩右手条接到左手白球。</t>
  </si>
  <si>
    <t>A248</t>
  </si>
  <si>
    <t>A：副歌中间，爆第一个白球（左）。（极）
E：散点后，第二组双打。（偷）（双排一样）</t>
  </si>
  <si>
    <t>B551</t>
  </si>
  <si>
    <t>B：副歌中间，爆第一个白球（右）。（极）
E：散点后，第二组双打。（偷）（双排一样）</t>
  </si>
  <si>
    <t>Crossing Field</t>
  </si>
  <si>
    <t>B973</t>
  </si>
  <si>
    <t>B：B段第一次高潮中间，两对双打之间的右手滑球。
E：左手单长条+右手普通球（条结束）。</t>
  </si>
  <si>
    <t>B1059</t>
  </si>
  <si>
    <t>B：B段第二次高潮快结束，爆第二个左手白球。
E：右手长条结束&amp;左手第二个白球。</t>
  </si>
  <si>
    <t>B：B开第四句歌词，爆左手普通球
E：连续散点中，左手普通球后右手二连点第一个</t>
  </si>
  <si>
    <t>B587</t>
  </si>
  <si>
    <t>B：小段空气后，爆连续散点第二个（右手普通球）
E：连续散点中，右手二连点左手白球</t>
  </si>
  <si>
    <t>A294</t>
  </si>
  <si>
    <t>A：四分音二散点后，爆紧接着的左白球（接近双爆）
E：四分音二白球散点后，紧接着的左手单点</t>
  </si>
  <si>
    <t>A335</t>
  </si>
  <si>
    <t>A：一爆结束后，立刻爆右手二连点
E：四分音二白球散点后，第二个普通球（左）</t>
  </si>
  <si>
    <t>A：两对左点&amp;右滑球后，爆四分音二白球散点（右开）
E：两对滑球&amp;单点后，四分音二白球散点第一个（右）</t>
  </si>
  <si>
    <t>B450</t>
  </si>
  <si>
    <t>B：左滑球后过两个单点爆左手单点
E：左单点</t>
  </si>
  <si>
    <t>B：右手条按住1cb爆（左白球前）
E：左手条</t>
  </si>
  <si>
    <t>A296</t>
  </si>
  <si>
    <t>A：左条后爆第二个单点（左手）
E：左手白球</t>
  </si>
  <si>
    <t>B：左手条后第一个单点（右手）
E：右手条</t>
  </si>
  <si>
    <t>等我先说</t>
  </si>
  <si>
    <t>A160</t>
  </si>
  <si>
    <t>A：二次副歌开，过左单点爆紧接着的右手单点
E：小段空气后，右手白球后的左手普通球</t>
  </si>
  <si>
    <t>B：二次副歌开，爆第一个左手白球
E：散点后，吃完双长条</t>
  </si>
  <si>
    <t>B297</t>
  </si>
  <si>
    <t>B：288右手条后A段最后两个球，爆左手白球（存）
E：A段结束，右手普通球（偷）</t>
  </si>
  <si>
    <t>B：422双打紧接的左手单长条，条按住过10cb
E：连续两根单长条，条尾左白球后紧接着的右</t>
  </si>
  <si>
    <t>B452</t>
  </si>
  <si>
    <t>B：439右手条后，爆双打（紧接左手条&amp;右单点）
E：连续单根单长条，条尾左单点后紧接着的右滑球</t>
  </si>
  <si>
    <t>A105</t>
  </si>
  <si>
    <t>A：98右手条后，过两个散点爆左手单长条
E：第三次不对称双长条，左手条按住至条尾时吃到右点</t>
  </si>
  <si>
    <t>B492</t>
  </si>
  <si>
    <t>B：B开过连续三根单长条，爆第二个普通球（左）
E：踩右手条迟到左手白球</t>
  </si>
  <si>
    <t>A：高潮中间，连续三根单长条后，爆右手白球。
E：踩右手条接到左手滑球。</t>
  </si>
  <si>
    <t>B：连续三根单长条后，爆右手白球。
E：右手滑球。</t>
  </si>
  <si>
    <t>A：高潮第一波，爆右手白球
E：左手普通球</t>
  </si>
  <si>
    <t>B519</t>
  </si>
  <si>
    <t>B：连续两组二连点后，，过左滑球爆左手普通球
E：左手普通球</t>
  </si>
  <si>
    <t>大艺术家(困难版)</t>
  </si>
  <si>
    <t>B：双长条后，爆左手二连点
E：散点中，吃到右手普通球</t>
  </si>
  <si>
    <t>B1000</t>
  </si>
  <si>
    <t>B：右手条按住，爆左手普通球（紧接白球）（极）
E：第二次右手普通球&amp;左滑球</t>
  </si>
  <si>
    <t>A124</t>
  </si>
  <si>
    <t>A：109起两根单长条后，过右手滑球爆紧接着的右单点
E：连续两个普通球后，左手白球</t>
  </si>
  <si>
    <t>B361</t>
  </si>
  <si>
    <t>B：350左手条后，爆右手白球
E：右手二连点后连续两根单长条</t>
  </si>
  <si>
    <t>A：左手普通球后，过小段空隙爆右手滑球
E：连续散点最后，吃完右手二连点</t>
  </si>
  <si>
    <t>B：踩293右手条爆左手单长条
E：右手二连点后，左手白球（备注）</t>
  </si>
  <si>
    <t>A182</t>
  </si>
  <si>
    <t>A：162连续两根单长条后，过两散点爆左手连续二散点
E：右条后，吃完连续五散点（右结束）</t>
  </si>
  <si>
    <t>B499</t>
  </si>
  <si>
    <t>B：479连续两根单长条后，过两散点爆右手连续二散点
E：左条后，吃完连续五散点（左结束）</t>
  </si>
  <si>
    <t>A166</t>
  </si>
  <si>
    <t>A：160右手条后，过左手普通球爆连续三对无规则双打
E：连续散点中，第一次右手三连点后左手普通球</t>
  </si>
  <si>
    <t>B：B开，爆右手单长条（带左手点）
E：第二波连续散点最后，右手滑球</t>
  </si>
  <si>
    <t>B：右手条后爆左手滑球
E：右手白球</t>
  </si>
  <si>
    <t>B520</t>
  </si>
  <si>
    <t>B：515右手条按住爆左白球
E：左手二连点</t>
  </si>
  <si>
    <t>A50</t>
  </si>
  <si>
    <t>A：左手二连点后，爆右手普通球
E：连续散点后，右手滑球</t>
  </si>
  <si>
    <t>B242</t>
  </si>
  <si>
    <t>B：两个左手普通球后，爆右手普通球（假）
E：右手滑球后，吃完左手二连点</t>
  </si>
  <si>
    <t>Faded(困难版)</t>
  </si>
  <si>
    <t>A：左手白球。（存）
E：A段结束，左手普通球。（偷）</t>
  </si>
  <si>
    <t>B583</t>
  </si>
  <si>
    <t>B：575左手条后第二个普通球（左）。
E：右手二连点后紧接着的左滑球&amp;右手普通球。</t>
  </si>
  <si>
    <t>B608</t>
  </si>
  <si>
    <t>B：连续四个滑球，爆第四个滑球（左）
E：右手普通球</t>
  </si>
  <si>
    <t>A198</t>
  </si>
  <si>
    <t>A：左手滑球后，爆右手二连点
E：连续几组二连点，吃完最后一组</t>
  </si>
  <si>
    <t>A259</t>
  </si>
  <si>
    <t>A：A段第二次高潮，爆左手三连点。
E：吃完第一组双长条。</t>
  </si>
  <si>
    <t>Firefly</t>
  </si>
  <si>
    <t>B391</t>
  </si>
  <si>
    <t>B：连续四个滑球后，爆第二组双打。
E：第二组白球&amp;普通球双打（左白右单点）</t>
  </si>
  <si>
    <t>B529</t>
  </si>
  <si>
    <t>B：连续六个滑球后，爆左白球&amp;右手普通球。
E：连续两组双白球后，右手白球。</t>
  </si>
  <si>
    <t>Flower Dance(困难版)</t>
  </si>
  <si>
    <t>B291</t>
  </si>
  <si>
    <t>B：B段第二个滑球后，爆第三个球（左手普通球）
E：左手滑球（散点全部吃完）</t>
  </si>
  <si>
    <t>B409</t>
  </si>
  <si>
    <t>B：连续两个单条+点后，爆双打（极）
E：双打（散点全部吃完）</t>
  </si>
  <si>
    <t>A：178连续两个滑球后，爆第二组二连点（左）
E：连续两个白球后，第一个单点（右）</t>
  </si>
  <si>
    <t>B：603连续两个滑球后，爆第二组二连点（右）
E：连续两个白球后，第一个单点（左）</t>
  </si>
  <si>
    <t>B：516连续六根单长条后，爆第一次白球（右）
E：第三条（左）后，三连四分音散点第一个（左）</t>
  </si>
  <si>
    <t>B961</t>
  </si>
  <si>
    <t>B：946连续两个单长条后，爆第一次白球（左）
E：第三次条（左）后，三连四分音散点第一个（左终）</t>
  </si>
  <si>
    <t>B：946连续两个单长条后，爆第一次白球（左）
E：第三次条（右）后，三连四分音散点第一个（左终）</t>
  </si>
  <si>
    <t>A218</t>
  </si>
  <si>
    <t>A：212右手条后，过左手滑球爆左手白球（存）
E：A段结束，踩左手条接到右手普通球</t>
  </si>
  <si>
    <t>B350</t>
  </si>
  <si>
    <t>B：343右手条后，爆第二组右手二连点
E：连续两组二连点后，右手白球</t>
  </si>
  <si>
    <t>B：踩326左手条爆右手单长条
E：左手三连点后，右手滑球</t>
  </si>
  <si>
    <t>歌谣</t>
  </si>
  <si>
    <t>A227</t>
  </si>
  <si>
    <t>A：左手白球后，爆右手三连点（存）
E：A段结束，双打（偷）</t>
  </si>
  <si>
    <t>B345</t>
  </si>
  <si>
    <t>B：右手三连点后，过三个散点爆左手白球&amp;右手条
E：双长条后，右手白球&amp;左手条开头</t>
  </si>
  <si>
    <t>B：左手普通球后，右手单长条
E：双长条后第二个球（左手滑球）</t>
  </si>
  <si>
    <t>给我一个理由忘记</t>
  </si>
  <si>
    <t>A：148连续两根单长条后，过左手滑球爆左手单长条
E：左手连续二散点后，第二个左手白球</t>
  </si>
  <si>
    <t>B266</t>
  </si>
  <si>
    <t>B：踩B开第一根右手条（264）爆左手滑球
E：连续七根单长条，踩最后一根右手条吃到左手单点</t>
  </si>
  <si>
    <t>A256</t>
  </si>
  <si>
    <t>A：右手白球
E：左手直条</t>
  </si>
  <si>
    <t>同左</t>
  </si>
  <si>
    <t>A278</t>
  </si>
  <si>
    <t>A：275直条按住3cb
E：右手单点</t>
  </si>
  <si>
    <t>A226</t>
  </si>
  <si>
    <t>A：右手滑球
E：左手滑球</t>
  </si>
  <si>
    <t>B570</t>
  </si>
  <si>
    <t>B：左手滑球后爆右手单点
E：右手滑球</t>
  </si>
  <si>
    <t>A：297双长条后，爆第三个右手普通球
E：左单点&amp;右滑球后，右手白球</t>
  </si>
  <si>
    <t>B638</t>
  </si>
  <si>
    <t>B：626双长条后，爆第三个左手普通球
E：左滑球&amp;右单点后，左手白球</t>
  </si>
  <si>
    <t>A253</t>
  </si>
  <si>
    <t>A：241双长条后，过左单点&amp;右滑球爆右手白球
E：左滑球&amp;右单点后，左手白球</t>
  </si>
  <si>
    <t>A133</t>
  </si>
  <si>
    <t>A：126起连续四跟单长条，第二根（左）按2cb开爆气
E：吃完第八组二连点（右）</t>
  </si>
  <si>
    <t>A281</t>
  </si>
  <si>
    <t>A：右手滑球后，爆左手三连点。
E：连续单长条后，吃完右手三连点。</t>
  </si>
  <si>
    <t>A：126起连续四根单长条，第二根（左）按2cb开爆气
E：吃完第八组二连点（右）</t>
  </si>
  <si>
    <t>Get It On The Floor</t>
  </si>
  <si>
    <t>A373</t>
  </si>
  <si>
    <t>A：副歌开始，爆第二个右手白球
E：左手二连点第一个</t>
  </si>
  <si>
    <t>B732</t>
  </si>
  <si>
    <t>B：副歌中间，爆第二个右手白球
E：左手二连点第一个</t>
  </si>
  <si>
    <t>B646</t>
  </si>
  <si>
    <t>B：散点中，左手普通求后爆右手普通球
E：连续三点后，紧接着的右手单长条开头</t>
  </si>
  <si>
    <t>B1182</t>
  </si>
  <si>
    <t>B：1175左条后，爆第二个左手白球
E：右单点后紧接着的连续四白球，吃到第三个</t>
  </si>
  <si>
    <t>B：左手条
E：右手单点</t>
  </si>
  <si>
    <t>B566</t>
  </si>
  <si>
    <t>B：右手条后爆左单点
E：右手条</t>
  </si>
  <si>
    <t>B390</t>
  </si>
  <si>
    <t>B：左条按住2cb爆
E：左条</t>
  </si>
  <si>
    <t>B302</t>
  </si>
  <si>
    <t>B：左手直条
E：左手白球</t>
  </si>
  <si>
    <t>B512</t>
  </si>
  <si>
    <t>B：左手直条
E：右手白球</t>
  </si>
  <si>
    <t>B305</t>
  </si>
  <si>
    <t>B：301左条按住3cb
E：右手点</t>
  </si>
  <si>
    <t>A102</t>
  </si>
  <si>
    <t>A：界面变橙（100cb）后，第一次右手二连点
E：双长条后，右手普通球</t>
  </si>
  <si>
    <t>B：右手二连点，踩408左手条爆右手单长条
E：三散点后，右手白球</t>
  </si>
  <si>
    <t>A82</t>
  </si>
  <si>
    <t>A：导歌第二句，左手滑球后，爆左手白球
E：第三次双长后的双打</t>
  </si>
  <si>
    <t>B317</t>
  </si>
  <si>
    <t>B：导歌第一句，爆左手普通球紧接着的双打。
E：吃完第二次双长条。</t>
  </si>
  <si>
    <t>A129</t>
  </si>
  <si>
    <t>A：122连续两根单长条，第二根（右）按2cb开爆气
E：左手白球后，吃完连续三个普通球（左手结束）</t>
  </si>
  <si>
    <t>B：264右手条后，爆左手二连点
E：左手白球后，吃完右手二连点</t>
  </si>
  <si>
    <t>A：第一次高潮两次三连点后，爆左手普通球。（极）
E：左手二连点后，右手普通球。（偷）</t>
  </si>
  <si>
    <t>B：第三次高潮两次三连点后，爆左手白球。（极）
E：左手二连点后，右手普通球。（偷）</t>
  </si>
  <si>
    <t>A：右手条后，高潮前间奏，爆双长条。（极）
E：双长条后双白球。（偷）</t>
  </si>
  <si>
    <t>B802</t>
  </si>
  <si>
    <t>B：第二次高潮中间双长条后，爆双白球。（极）
E：左手二连点后双滑球。（偷）</t>
  </si>
  <si>
    <t>B：第二次高潮中间双长条后，爆双白球。
E：左手二连点后双滑球。</t>
  </si>
  <si>
    <t>B680</t>
  </si>
  <si>
    <t>B：左手二连点第二个
E：左手条</t>
  </si>
  <si>
    <t>B：左滑右条
E：双条</t>
  </si>
  <si>
    <t>hold you tonight</t>
  </si>
  <si>
    <t>A：左条+右点（存）
E：结尾</t>
  </si>
  <si>
    <t>B723</t>
  </si>
  <si>
    <t>B：右手条后爆左条右滑
E：左手滑球+右单点</t>
  </si>
  <si>
    <t>B：右手条后爆左条右滑
E：左手滑球</t>
  </si>
  <si>
    <t>A：条加点后，爆连续两对双打。
E：踩右手条接到左手二连点第一个。</t>
  </si>
  <si>
    <t>B935</t>
  </si>
  <si>
    <t>B：一个普通球紧连着的右手条直接爆。（极）
E：第二个白球（右）。</t>
  </si>
  <si>
    <t>A44</t>
  </si>
  <si>
    <t>A：右手普通球后，爆左手白球
E：右手二连点后，紧接着的左手普通球</t>
  </si>
  <si>
    <t>B276</t>
  </si>
  <si>
    <t>B：左手普通球后，爆右手白球
E：左手二连点后，紧接着的右手普通球</t>
  </si>
  <si>
    <t>I'm Falling in love</t>
  </si>
  <si>
    <t>A177</t>
  </si>
  <si>
    <t>A：169右手条后，爆连续散点第四个（左二连点之二）
E：右手二连点后，左手白球</t>
  </si>
  <si>
    <t>B371</t>
  </si>
  <si>
    <t>B：368小段空气后，爆连续散点第四个（右单点）
E：右单点后，左单点紧接着的左白球</t>
  </si>
  <si>
    <t>B：B段开头第七个球（左手普通球）。
E：吃完连续三对双打。</t>
  </si>
  <si>
    <t>B508</t>
  </si>
  <si>
    <t>B：踩499左手条过右手滑球爆右手普通球。
E：第二次双白球。</t>
  </si>
  <si>
    <t>A179</t>
  </si>
  <si>
    <t>A：172右手条+左单点后，过左单点爆右手滑球
E：左手条+右手三个球后，吃完双长条</t>
  </si>
  <si>
    <t>A579</t>
  </si>
  <si>
    <t>A：572左手条+右单点后，过右手滑球爆左单点
E：右手条+左手两个球后，吃完双长条</t>
  </si>
  <si>
    <t>I Knew You Were Trouble</t>
  </si>
  <si>
    <t>A：导歌第四句，右手白球后爆左手普通球。
E：条加点后，右手白球。</t>
  </si>
  <si>
    <t>B：导歌第四句最后，爆左手普通球。
E：踩左手条接到右手普通球。</t>
  </si>
  <si>
    <t>A：导歌第四小句，右手白球后爆左手普通球。
E：条加点后，右手白球。</t>
  </si>
  <si>
    <t>A409</t>
  </si>
  <si>
    <t>A：403右手条+左滑球后，爆右手普通球
E：左手白球后，连续单长条第二根（左）开头</t>
  </si>
  <si>
    <t>B687</t>
  </si>
  <si>
    <t>B：双打后，爆左手普通球紧接着的左手单长条
E：右手单长条后，吃完连续四个散点</t>
  </si>
  <si>
    <t>A355</t>
  </si>
  <si>
    <t>A：350右手条后，爆左手白球
E：连续散点中，左手白球</t>
  </si>
  <si>
    <t>B725</t>
  </si>
  <si>
    <t>B：720左手条后，爆右手白球
E：连续散点中，右手白球</t>
  </si>
  <si>
    <t>A35</t>
  </si>
  <si>
    <t>A：右手滑球后，过空隙爆左手白球
E：连续散点最后，右手滑球后左手普通球</t>
  </si>
  <si>
    <t>A347</t>
  </si>
  <si>
    <t>A：337连续两根单长条后，爆双长条
E：两组条+点后A段结束，左手普通球</t>
  </si>
  <si>
    <t>A36</t>
  </si>
  <si>
    <t>A：左手滑球后，过空隙爆右手滑球
E：连续散点后，过空隙吃完连续二散点</t>
  </si>
  <si>
    <t>B306</t>
  </si>
  <si>
    <t>B：303右手条&amp;左手单点，条按住过2cb开爆气
E：散点后，吃完二连双打</t>
  </si>
  <si>
    <t>B：左手滑球后，过右手单点爆左手连续二散点
E：左手条&amp;右滑球带右白球，吃完左手单长条</t>
  </si>
  <si>
    <t>B：3030右手条&amp;左手单点，条按住过2cb开爆气
E：散点后，吃完二连双打</t>
  </si>
  <si>
    <t>B：踩512右手条爆左手白球。
E：左手二连点后，右手普通球。</t>
  </si>
  <si>
    <t>B582</t>
  </si>
  <si>
    <t>B：导歌第二段，左手滑球后，爆右手普通球。
E：右手滑球后，左手白球。</t>
  </si>
  <si>
    <t>Just Like Fire</t>
  </si>
  <si>
    <t>B468</t>
  </si>
  <si>
    <t>B：B段导歌开始第三个条加点（左条右点）。
E：右手条按住，左手三连点（条结束）。</t>
  </si>
  <si>
    <t>B721</t>
  </si>
  <si>
    <t>B：716左手条&amp;右单点，条结束时爆右手白球。
E：歌曲结束，右手白球。</t>
  </si>
  <si>
    <t>B565</t>
  </si>
  <si>
    <t>B：四个滑球后，爆右手单长条。
E：右手滑球</t>
  </si>
  <si>
    <t>B：四个滑球后，左手条按住，爆右手普通球。
E：踩右手条接到左手普通球</t>
  </si>
  <si>
    <t>A：137连续两根单长条后，爆右手滑球
E：左手普通球</t>
  </si>
  <si>
    <t>B277</t>
  </si>
  <si>
    <t>B：踩273右手条爆左手普通球
E：左手白球（散点全部吃完）</t>
  </si>
  <si>
    <t>卡农</t>
  </si>
  <si>
    <t>A：第二次高潮左手三连点后，爆左手普通球。
E：左手普通球。</t>
  </si>
  <si>
    <t>B：连续四根单长条，踩最后一根（左）爆右手滑球。
E：歌曲结束，右手普通球。（偷）</t>
  </si>
  <si>
    <t>B：连续四根单长条，踩最后一根（左）爆右手滑球
E：歌曲结束，右手普通球。（偷）</t>
  </si>
  <si>
    <t>克罗地亚狂想曲</t>
  </si>
  <si>
    <t>A：第一次副歌。两次滑球后爆第二组右手二连点
E：第二个右手白球</t>
  </si>
  <si>
    <t>A：第二次副歌，两次滑球后爆第二组左手二连点
E：第二个左手白球</t>
  </si>
  <si>
    <t>A77</t>
  </si>
  <si>
    <t>A：连续两组条+点，踩73左手条爆右手白球
E：吃完连续两组三连双打</t>
  </si>
  <si>
    <t>B1033</t>
  </si>
  <si>
    <t>B：“survival game”双长条爆
E：右手条按住，左手八连点的第七个</t>
  </si>
  <si>
    <t>Landing</t>
  </si>
  <si>
    <t>B：小段空气后，爆第三组双打
E：右手白球（散点全部吃完）</t>
  </si>
  <si>
    <t>B：右手三连点后，过左手第四¥的爆右手滑球开始的散点
E：连续两个白球后，双滑球</t>
  </si>
  <si>
    <t>B210</t>
  </si>
  <si>
    <t>B：左手滑球后，爆右手普通球
E：散点后，第二对双打</t>
  </si>
  <si>
    <t>B：348右手条后，爆左手滑球
E：歌曲结束，右手二连点后，吃完左手三连点</t>
  </si>
  <si>
    <t>B245</t>
  </si>
  <si>
    <t>B：B开连续四个滑球后，过两个散点爆右手白球
E：右手普通球</t>
  </si>
  <si>
    <t>B399</t>
  </si>
  <si>
    <t>B：383右手条后，过连续三个滑球爆右手普通球
E：右手普通球（散点全部吃完）</t>
  </si>
  <si>
    <t>B393</t>
  </si>
  <si>
    <t>B：左直条按住2cb
E：左手直条</t>
  </si>
  <si>
    <t>B：564左直条后右手第二个单点
E：左直条</t>
  </si>
  <si>
    <t>B497</t>
  </si>
  <si>
    <t>B：右手二连点后，爆左手白球。
E：条加点后，吃完左手二连点。</t>
  </si>
  <si>
    <t>B557</t>
  </si>
  <si>
    <t>B：第二次四组二连点，爆第四组（右）。
E：歌曲结束，双长条。</t>
  </si>
  <si>
    <t>凉凉(困难版)</t>
  </si>
  <si>
    <t>A340</t>
  </si>
  <si>
    <t>A：高潮336右手条按住过4cb开爆气。
E：滑球后，二散点（右）结束。</t>
  </si>
  <si>
    <t>B1042</t>
  </si>
  <si>
    <t>B：“就让情分落九尘”，爆“尘”字右手条。
E：连续两组条加点后第三个球（左普通球）。</t>
  </si>
  <si>
    <t>B：“就让情分落九尘”，爆“尘”字右手条。
E：连续两组条加点后第三个球（左普通球）。「备注」</t>
  </si>
  <si>
    <t>林中鸟(困难版)</t>
  </si>
  <si>
    <t>A419</t>
  </si>
  <si>
    <t>A：连续两个白球，爆右手白球
E：左手条+右滑球后，左滑球&amp;右普通球的双打</t>
  </si>
  <si>
    <t>B：踩699左手条爆右手白球
E：连续两组滑球+普通球双打后，第三个左手普通球</t>
  </si>
  <si>
    <t>B1335</t>
  </si>
  <si>
    <t>B：1296双条后，爆第一次左点接四分音
E：连续散点中，吃完连续四个白球</t>
  </si>
  <si>
    <t>B1379</t>
  </si>
  <si>
    <t>B：一爆结束后，立刻爆下一个右手普通球
E：右手单条后，第一次左单点（三连四分音散点尾）</t>
  </si>
  <si>
    <t>B1356</t>
  </si>
  <si>
    <t>B：1347连续两组双滑球后，过五个球爆左手二连点
E：连续两组四连四分音交互后，紧接着的左手滑球</t>
  </si>
  <si>
    <t>B872</t>
  </si>
  <si>
    <t>B：862起，踩第二根条（右）爆第三根条（左）
E：吃完左单点-六连四分音交互（左结束）</t>
  </si>
  <si>
    <t>B：1310右手条&amp;左单点，条按住至尾时爆左手白球
E：三对双打后，过三连四分音交互吃到右点。</t>
  </si>
  <si>
    <t>B344</t>
  </si>
  <si>
    <t>B：连续四个滑球后，爆左手连续二散点（接近双爆）
E：散点中，左手滑球</t>
  </si>
  <si>
    <t>B：一爆结束后，立刻爆右手滑球（接近双爆）
E：散点结束后，吃完右手单长条</t>
  </si>
  <si>
    <t>B：副歌开始后，第二次连续两滑球后爆左手白球
E：左手滑球后，右手白球</t>
  </si>
  <si>
    <t>A：右手三连点后，过两个散点爆左手白球
E：左手白球</t>
  </si>
  <si>
    <t>B：副歌第一句中，爆左手单长条
E：踩左手条接到右手滑球</t>
  </si>
  <si>
    <t>A：195左手条+右单点后，爆左手普通球（接近双爆）
E：左手单长条后，连续四个普通球第三个（右）</t>
  </si>
  <si>
    <t>A255</t>
  </si>
  <si>
    <t>A：两个普通球后，爆左手白球（接近双爆）
E：左手单长条后，空隙后连续四个单点第二个</t>
  </si>
  <si>
    <t>A：223右手条后，过连续四散点爆右手普通球
E：连续散点最后，吃完右手三连点</t>
  </si>
  <si>
    <t>B474</t>
  </si>
  <si>
    <t>B：466左手条后，爆右手白球
E：右手普通球后，左手白球</t>
  </si>
  <si>
    <t>A305</t>
  </si>
  <si>
    <t>A：296左手条后，爆右手白球
E：连续三个散点后，右手单长条中间</t>
  </si>
  <si>
    <t>B：715右手条后，爆左手白球
E：连续三个散点后，左手单长条中间</t>
  </si>
  <si>
    <t>A：左条按住8cb
E：左单点</t>
  </si>
  <si>
    <t>B：右手条按住7cb爆
E：右手条</t>
  </si>
  <si>
    <t>B287</t>
  </si>
  <si>
    <t>B：右手条后左手单点
E：左手滑球</t>
  </si>
  <si>
    <t>B：左手条后第二个右手单点
E：右手滑球</t>
  </si>
  <si>
    <t>A114</t>
  </si>
  <si>
    <t>A：107右手条后，爆左手普通球（假）
E：右手滑球后，吃完三个单点（左终）</t>
  </si>
  <si>
    <t>B：323左手条后，爆右手普通球（假）
E：右单点后，吃完紧接着的左手二连点</t>
  </si>
  <si>
    <t>A：97右手条后，过三个散点爆右手二连点
E：右手普通球后，左手白球</t>
  </si>
  <si>
    <t>B：290左手条后，过三个散点爆右手普通球
E：右手普通球后，左手白球</t>
  </si>
  <si>
    <t>A391</t>
  </si>
  <si>
    <t>A：379直条后过空白爆左滑+右点（存）
E：左白球</t>
  </si>
  <si>
    <t>B443</t>
  </si>
  <si>
    <t>B：436左直条后爆右手白球
E：二连点第一个</t>
  </si>
  <si>
    <t>B：436左直条按住4cb
E：左手白球</t>
  </si>
  <si>
    <t>B：B开第四根长条，爆右手条&amp;左滑球
E：踩右手条吃到左手第一个普通球。</t>
  </si>
  <si>
    <t>B741</t>
  </si>
  <si>
    <t>B：双滑球后，爆左手普通球&amp;右白球。
E：左手条按住，吃到右手普通球。</t>
  </si>
  <si>
    <t>B279</t>
  </si>
  <si>
    <t>B：B开四个滑球过后，爆左手二连点。
E：左手滑球。</t>
  </si>
  <si>
    <t>B451</t>
  </si>
  <si>
    <t>B：右手三连点后，爆左手二连点。
E：右手连续二散点后，左手二连点第一个。</t>
  </si>
  <si>
    <t>ONE &amp; ONLY</t>
  </si>
  <si>
    <t>A29</t>
  </si>
  <si>
    <t>A：26左条按住2cb爆
E：右手白球</t>
  </si>
  <si>
    <t>A141</t>
  </si>
  <si>
    <t>A：左手单点
E：左手单点</t>
  </si>
  <si>
    <t>A：130左手直条按住爆右手二连点
E：左手白球</t>
  </si>
  <si>
    <t>B372</t>
  </si>
  <si>
    <t>B：366右手直条按住爆左手二连点
E：右手白球</t>
  </si>
  <si>
    <t>A：238左手条后，爆左单点&amp;右滑球
E：右手单长条，左手白球</t>
  </si>
  <si>
    <t>B：671右手条后，爆左滑球&amp;右单点
E：左手单长条后，右手白球</t>
  </si>
  <si>
    <t>A：A段结束，左手白球+右手普通球双打（存）
E：同上</t>
  </si>
  <si>
    <t>B531</t>
  </si>
  <si>
    <t>B：第二波（第三个）左手条右手滑球前二连点直接爆
E：右手二连点后，左手白球</t>
  </si>
  <si>
    <t>B：rap结束后，第二个滑球+条，爆左滑球+右手条
E：踩左手条过右手白球接到右手滑球</t>
  </si>
  <si>
    <t>期待</t>
  </si>
  <si>
    <t>A27</t>
  </si>
  <si>
    <t>A：11右手条后，爆第二对双打
E：踩连续两根单长条的第二根右手长条接到左手白球</t>
  </si>
  <si>
    <t>B198</t>
  </si>
  <si>
    <t>B：182右手条后，爆第二对双打
E：踩连续两根单长条的第二根右手长条接到左手白球</t>
  </si>
  <si>
    <t>A：100右手条后，爆左手连续三个散点
E：踩左手条接到 右手滑球</t>
  </si>
  <si>
    <t>B406</t>
  </si>
  <si>
    <t>B：399左手条后，过右滑球爆第二个普通球（右）
E：右手白球后，紧接着的左手单长条开头</t>
  </si>
  <si>
    <t>B284</t>
  </si>
  <si>
    <t>B：左手滑球后，爆右手二连点。
E：连续两根单长条后的右手白球。</t>
  </si>
  <si>
    <t>B354</t>
  </si>
  <si>
    <t>B：右手普通球后，爆左手白球。
E：左手普通球（倒数第二个散点）。</t>
  </si>
  <si>
    <t>B：导歌最后，连续四个滑球，爆第四个（右）。
E：导歌第二句结束时，右手白球。</t>
  </si>
  <si>
    <t>B641</t>
  </si>
  <si>
    <t>B：右手白球（接双打+双长条）。
E：条加点后右手滑球。</t>
  </si>
  <si>
    <t>A324</t>
  </si>
  <si>
    <t>A：311右手条后，过四个散点爆双长条
E：连续散点最后，右手普通球</t>
  </si>
  <si>
    <t>B720</t>
  </si>
  <si>
    <t>B：707左手条后，过四个散点爆双长条
E：连续散点最后，左手普通球</t>
  </si>
  <si>
    <t>A137</t>
  </si>
  <si>
    <t>A：126左手条后间奏开始，过两个滑球爆散点（左开）
E：倒数第二个左手白球</t>
  </si>
  <si>
    <t>B731</t>
  </si>
  <si>
    <t>B：721左手条后，爆第二个左手普通球
E：第三次踩右手条接到左手普通球</t>
  </si>
  <si>
    <t>A222</t>
  </si>
  <si>
    <t>A：217左手条后，爆右手白球
E：右手条+左单点后，左手普通球</t>
  </si>
  <si>
    <t>B288</t>
  </si>
  <si>
    <t>B：B开，爆右手单长条
E：连续三个普通球后，左手滑球</t>
  </si>
  <si>
    <t>A348</t>
  </si>
  <si>
    <t>A：左滑球
E：右手白球</t>
  </si>
  <si>
    <t>B822</t>
  </si>
  <si>
    <t>B：压右手条爆左滑
E：双长条</t>
  </si>
  <si>
    <t>A399</t>
  </si>
  <si>
    <t>A：四个滑球后，爆右手白球。（存）
E：A段结束，右手普通球。</t>
  </si>
  <si>
    <t>B836</t>
  </si>
  <si>
    <t>B：左手二连点后，爆紧接着的右手二连点第二个。
E：歌曲结束，左手普通球</t>
  </si>
  <si>
    <t>B865</t>
  </si>
  <si>
    <t>B：左手三连点后结尾间奏，爆第二个左手普通球
E：右手白球（倒数第二个）</t>
  </si>
  <si>
    <t>A：右手滑球后，爆左手单长条（存）
E：A段结束，左手普通球。</t>
  </si>
  <si>
    <t>B533</t>
  </si>
  <si>
    <t>B：右手滑球后，531左手条按2cb开爆气
E：吃完第二次连续两组二连点（左结束）</t>
  </si>
  <si>
    <t>B535</t>
  </si>
  <si>
    <t>B：踩531左手条爆右手二连点
E：连续两组二连点，第二组（左）第一个</t>
  </si>
  <si>
    <t>Sky</t>
  </si>
  <si>
    <t>A：开局第二次三连点后，过两个滑球爆右手普通球
E：两个滑球后，左手普通球</t>
  </si>
  <si>
    <t>B：370左手条后，爆第二个左手滑球
E：两次三连点后，第三个左手普通球</t>
  </si>
  <si>
    <t>A31</t>
  </si>
  <si>
    <t>A：20左手条后，过两波三连散点爆右手普通球
E：左手连续二散点后，紧接着的右手滑球</t>
  </si>
  <si>
    <t>B214</t>
  </si>
  <si>
    <t>B：209左手条后，报右手普通球
E：连续两个普通球后，紧接着的右手滑球</t>
  </si>
  <si>
    <t>A：右手232直条按住1cb（存）
E：左手单点</t>
  </si>
  <si>
    <t>B：438左直条按住2cb
E：左单点+右滑球</t>
  </si>
  <si>
    <t>B：438左直条按住爆右手单点
E：左单点+右滑球</t>
  </si>
  <si>
    <t>Summertime</t>
  </si>
  <si>
    <t>A：125右手条后，过三个普通球爆左手二连点
E：右手单长条后，左手白球</t>
  </si>
  <si>
    <t>B421</t>
  </si>
  <si>
    <t>B：409左手条后，过三个普通球爆右手二连点
E：左手单长条后，右手白球</t>
  </si>
  <si>
    <t>A157</t>
  </si>
  <si>
    <t>A：连续四组二连点（右手开始）。
E：连续四组二连点后，左手普通球。（双排一样）</t>
  </si>
  <si>
    <t>B：连续四组二连点（右手开始）。
E：连续四组二连点后，左手普通球。（双排一样）</t>
  </si>
  <si>
    <t>A：连续四组二连点（右手开始）。
E：连续四组二连点后，左手普通球。</t>
  </si>
  <si>
    <t>A：298左手白球后，爆第二个普通球（左）
E：A段结束，双长条中间（最后2cb吃不到）</t>
  </si>
  <si>
    <t>B：396右白球后，爆第二个球（右滑球）
E：双长条后，第二个白球（左）</t>
  </si>
  <si>
    <t>B437</t>
  </si>
  <si>
    <t>B：417连续两组双长条后，爆右手条&amp;左滑球。
E：双长条后，第一个白球（右）</t>
  </si>
  <si>
    <t>Sunshine, Lollipops and Rainbows</t>
  </si>
  <si>
    <t>A456</t>
  </si>
  <si>
    <t>A：右点+左手条按住爆右手白球（存）
E：右手白球</t>
  </si>
  <si>
    <t>B982</t>
  </si>
  <si>
    <t>B：双长条
E：双条</t>
  </si>
  <si>
    <t>B951</t>
  </si>
  <si>
    <t>B：947左点右球按住爆左手白球
E：双条</t>
  </si>
  <si>
    <t>标记</t>
  </si>
  <si>
    <t>B：947左点右条按住爆左手白球</t>
  </si>
  <si>
    <t>A191</t>
  </si>
  <si>
    <t>A：180双长条后，过右单点爆紧接着的右手条&amp;左单点
E：右单点后，紧接着的左滑球&amp;右单点</t>
  </si>
  <si>
    <t>B：645双长条后，过左单点爆紧接着的左手条&amp;右单点
E：左单点后，紧接着的左单&amp;右滑球</t>
  </si>
  <si>
    <t>SHIORI</t>
  </si>
  <si>
    <t>B：四组双滑球后，爆第一组双白球。（极）
E：右手三连点后，第一组双白球。（偷）</t>
  </si>
  <si>
    <t>B：右手三连点后，爆左手条&amp;右手滑球。（极）
E：三个散点后，双白球。（偷）</t>
  </si>
  <si>
    <t>B590</t>
  </si>
  <si>
    <t>B：右手单长条&amp;左手普通球。
E：倒数第二个白球（左）。</t>
  </si>
  <si>
    <t>B673</t>
  </si>
  <si>
    <t>B：右手滑球后，爆左手三连点。
E：白球后的右手普通球。</t>
  </si>
  <si>
    <t>A23</t>
  </si>
  <si>
    <t>A：开局第四个二连点（右）。
E：踩左手条接到右手白球。</t>
  </si>
  <si>
    <t>B814</t>
  </si>
  <si>
    <t>B：803左手条后，爆第七个普通球（左）
E：第七组双长条中</t>
  </si>
  <si>
    <t>B622</t>
  </si>
  <si>
    <t>B：四个散点后，爆左手条&amp;右单点
E：连续三次条+点后，双打</t>
  </si>
  <si>
    <t>B：右手白球后，爆左手条&amp;右单点
E：左手条+右耳单点后，右手条开头&amp;左单点</t>
  </si>
  <si>
    <t>A538</t>
  </si>
  <si>
    <t>A：左手连续二散点后，爆双长条（存）
E：A段结束，双长条中间（最后2cb吃不到）</t>
  </si>
  <si>
    <t>B：593右手条后，爆左手白球
E：连续散点最后，吃完两个白球（左结束）</t>
  </si>
  <si>
    <t>B618</t>
  </si>
  <si>
    <t>B：610左条+右白球后，爆连续散点第三个（左单点）
E：连续散点最后，吃完两个白球（左结束）</t>
  </si>
  <si>
    <t>A232</t>
  </si>
  <si>
    <t>A：左手按住爆右手二连点
E：左手单点</t>
  </si>
  <si>
    <t>B：左手二连点
E：左手白球</t>
  </si>
  <si>
    <t>A：第二次副歌153连续四根单长条，爆第四个左手长条
E：第二个右手白球</t>
  </si>
  <si>
    <t>B：第一次副歌387连续四根单长条，爆第二根右手长条
E：连续三散点中，第二个左手白球</t>
  </si>
  <si>
    <t>B：踩393左手条爆右手滑球
E：连续两组双打后，第二个左手白球</t>
  </si>
  <si>
    <t>B：第一组左手三连点
E：歌曲结束，踩左手条吃到右手第二个普通球</t>
  </si>
  <si>
    <t>太过爱你</t>
  </si>
  <si>
    <t>A：206左手条后，爆右手二连点
E：左手连续二散点后，右手单长条开头</t>
  </si>
  <si>
    <t>B532</t>
  </si>
  <si>
    <t>B：521连续两根单长条后，过左手滑球爆右手三连点
E：左手三连点后，左手白球</t>
  </si>
  <si>
    <t>A212</t>
  </si>
  <si>
    <t>A：193起三根单长条后副歌开，爆左手滑球
E：二次副歌第二句，踩右手条接到左单点</t>
  </si>
  <si>
    <t>B477</t>
  </si>
  <si>
    <t>B：458起三根单长条后副歌开，爆右手滑球
E：二次副歌第二句，踩左条接到右单点</t>
  </si>
  <si>
    <t>B：左手单长条后，爆双打（接双长条）。（假）
E：右手普通球（散点全部吃完）。</t>
  </si>
  <si>
    <t>B866</t>
  </si>
  <si>
    <t>B：第二次四个滑球后，过左手点爆右手单长条。（假）
E：歌曲结束，双长条。</t>
  </si>
  <si>
    <t>B：第二次四个滑球后，过左手点爆右手单长条。
E：歌曲结束，双长条。</t>
  </si>
  <si>
    <t>A407</t>
  </si>
  <si>
    <t>A：踩402右手条爆左手普通球
E：A段结束，吃完双长条</t>
  </si>
  <si>
    <t>B899</t>
  </si>
  <si>
    <t>B：894右手条后，爆左手单长条
E：双打后，吃完双长条</t>
  </si>
  <si>
    <t>A575</t>
  </si>
  <si>
    <t>A：567双打后，爆连续散点中第三个白球（左）
E：四分音交互后左条按住，过三右点迟到条尾&amp;右白球</t>
  </si>
  <si>
    <t>B1140</t>
  </si>
  <si>
    <t>B：1128双长条后，爆连续第三个白球（左）
E：四分音交互后左条按住，过三右点迟到条尾&amp;右白球</t>
  </si>
  <si>
    <t>A：81右条&amp;左单点后，过左单点爆紧接的右条&amp;左滑球
E：连续散点中，有三连点-左二连点后第三个点（右）</t>
  </si>
  <si>
    <t>B1009</t>
  </si>
  <si>
    <t>B：双打后，爆连续四个普通球（左开）
E：左单点-双打后，右手白球</t>
  </si>
  <si>
    <t>V</t>
  </si>
  <si>
    <t>VIP</t>
  </si>
  <si>
    <t>A196</t>
  </si>
  <si>
    <t>A：190右手条+左滑球后，爆右手白球
E：连续两组二连点后，紧接的右手白球</t>
  </si>
  <si>
    <t>B540</t>
  </si>
  <si>
    <t>B：534左手条+右滑球后，爆左手白球
E：连续两组二连点后，紧接的左手白球</t>
  </si>
  <si>
    <t>B：338左手条后，爆第一个右手白球
E：踩右手条接到左手白球</t>
  </si>
  <si>
    <t>B420</t>
  </si>
  <si>
    <t>B：右手滑球后，爆左手二连点第二个
E：右手三连点后，左手白球</t>
  </si>
  <si>
    <t>What Makes You Beautiful*</t>
  </si>
  <si>
    <t>B：383二次副歌开，爆第三个左手白球
E：踩左手条吃到右手第二个白球</t>
  </si>
  <si>
    <t>B：456三次副歌开，爆第三根右手条
E：歌曲结束，吃完双长条</t>
  </si>
  <si>
    <t>A：踩143右手条爆左手白球
E：第三次踩左手条接到右手白球</t>
  </si>
  <si>
    <t>B473</t>
  </si>
  <si>
    <t>B：踩469左手条爆右手白球
E：第三次踩右手条接到左手白球</t>
  </si>
  <si>
    <t>A：125双长条后，爆左手第一个白球
E：右手普通球后，左手白球</t>
  </si>
  <si>
    <t>B：280连续三根单长条后，爆左开散点
E：连续两组二连点后，第一个左手滑球</t>
  </si>
  <si>
    <t>A122</t>
  </si>
  <si>
    <t>A：117左手条后，爆右手普通球
E：双长条后，第三个左手普通球</t>
  </si>
  <si>
    <t>B446</t>
  </si>
  <si>
    <t>B：435双长条后，爆第二个普通球
E：连续两组二连点后，第二个左手滑球</t>
  </si>
  <si>
    <t>B：435双长条后，爆第二个左手普通球
E：连续两组二连点后，第二个左手滑球</t>
  </si>
  <si>
    <t>A：152右手条后，爆左手滑球
E：右手单长条后，第三个普通球（左）</t>
  </si>
  <si>
    <t>B：501右手条后，爆第五个左手滑球
E：左手普通球后，右手白球</t>
  </si>
  <si>
    <t>望</t>
  </si>
  <si>
    <t>B321</t>
  </si>
  <si>
    <t>B：313左手条后，过右手三连点爆左手滑球
E：吃完连续两组二连双打</t>
  </si>
  <si>
    <t>B413</t>
  </si>
  <si>
    <t>B：405左手条&amp;右滑球后，过左手二连点爆右手白球
E：左手条+右滑球后，过右手二连点接到左手白球</t>
  </si>
  <si>
    <t>B312</t>
  </si>
  <si>
    <t>B：B开，爆第二根单长条（左）
E：右手单长条后，左手白球</t>
  </si>
  <si>
    <t>B：611左手条+右单点后，爆右手单长条
E：左手单长条后，右手白球</t>
  </si>
  <si>
    <t>A：128右手条后，爆右手普通球
E：右手白球后，左手滑球</t>
  </si>
  <si>
    <t>B：374左手条后，爆左手普通球
E：左手白球后，右手滑球</t>
  </si>
  <si>
    <t>我们的歌</t>
  </si>
  <si>
    <t>A57</t>
  </si>
  <si>
    <t>A：空气后直接爆左手滑球。
E：导歌第二句，第三个右手滑球。</t>
  </si>
  <si>
    <t>B402</t>
  </si>
  <si>
    <t>B：空气后直接爆左手滑球。
E：导歌第二句，第三个右手滑球。</t>
  </si>
  <si>
    <t>B664</t>
  </si>
  <si>
    <t>B：655右手条按住过8cb开爆气（659处有一左单点）
E：踩左手条过一右单点接到右手白球</t>
  </si>
  <si>
    <t>B753</t>
  </si>
  <si>
    <t>B：踩749右手条爆左手白球
E：踩左手条按一右单点接到右手白球</t>
  </si>
  <si>
    <t>A392</t>
  </si>
  <si>
    <t>A：383右手条+左白球后，爆第二个右普通球
E：连续散点中右手白球后，第二个右普通球</t>
  </si>
  <si>
    <t>B：848左手条+右白球后，过左单点爆左手条&amp;右白球
E：歌曲结束，踩左手条接到右手普通球</t>
  </si>
  <si>
    <t>A：125连续五散点后，爆左手单长条
E：第四波连续三散点最后，左手白球</t>
  </si>
  <si>
    <t>B517</t>
  </si>
  <si>
    <t>B：506连续两根单长条+左滑球后，爆左手单长条
E：双长条后，双打</t>
  </si>
  <si>
    <t>A312</t>
  </si>
  <si>
    <t>A：踩308右手条爆左手白球
E：双长条后，第二对双打</t>
  </si>
  <si>
    <t>B：踩829左手条爆右手白球
E：双长条后，第二对双打</t>
  </si>
  <si>
    <t>B：直条后过滑球爆第二个球（左手普通球）
E：右手二连点</t>
  </si>
  <si>
    <t>B489</t>
  </si>
  <si>
    <t>B：480直条后过滑球和二连点爆左手单点
E：左手白球</t>
  </si>
  <si>
    <t>B：直条后过滑球和二连点爆左手单点
E：左手白球</t>
  </si>
  <si>
    <t>B313</t>
  </si>
  <si>
    <t>B：连续七根单长条，爆第四根（左）。
E：右手白球后，吃完双长条。</t>
  </si>
  <si>
    <t>B441</t>
  </si>
  <si>
    <t>B：高潮第四波，爆连续两个右手白球。
E：左手条+右手白球后，吃完双长条。</t>
  </si>
  <si>
    <t>Whistle(困难版)</t>
  </si>
  <si>
    <t>A：352右手条后，爆第二个右手普通球。
E：左手滑球（散点全部吃完）。</t>
  </si>
  <si>
    <t>A466</t>
  </si>
  <si>
    <t>A：右手二连点。
E：右手白球后的单长条中间。</t>
  </si>
  <si>
    <t>A468</t>
  </si>
  <si>
    <t>A：右手二连点后，爆左手二连点
E：踩右手条接到左手普通球</t>
  </si>
  <si>
    <t>A：A段最后一个左条加点前左手普通球（存）
E：A段结束，踩左手条接到右手白球。</t>
  </si>
  <si>
    <t>B463</t>
  </si>
  <si>
    <t>B：B段第一个右条加点前，爆右手普通球。（极）。
E：左手白球后，紧接的右手普通球</t>
  </si>
  <si>
    <t>B：481左手条&amp;右单点，按住条爆下一个球（右白球）
E：散点中，左手白球</t>
  </si>
  <si>
    <t>A：“不要担心不要哭泣”后爆右手白球。
E：右手滑球。</t>
  </si>
  <si>
    <t>B1101</t>
  </si>
  <si>
    <t>B：踩1097左手条爆右手普通球。
E：右手条按住，左手第二个滑球（条结束）。</t>
  </si>
  <si>
    <t>B526</t>
  </si>
  <si>
    <t>B：右手三连点后，524左手条按住过2cb开爆气
E：右手白球后，第二对双打</t>
  </si>
  <si>
    <t>B：592连续三根单长条后，爆左手白球
E：第二个右手白球后，右手单长条开头</t>
  </si>
  <si>
    <t>A：201左手条+右滑球后，爆左手连续两个白球（存）
E：A段结束，吃完双长条</t>
  </si>
  <si>
    <t>B：459右手条+左滑球后，爆右手单点紧接着的右手白球
E：连续三根单长条后，第四个右手普通球</t>
  </si>
  <si>
    <t>A：右手白球后，爆第二个滑球（右）（极）
E：A段结束，吃完双长条（偷）</t>
  </si>
  <si>
    <t>B341</t>
  </si>
  <si>
    <t>B：导歌开始，第三次右手条&amp;左手滑球
E：右手白球后，第五对双打</t>
  </si>
  <si>
    <t>B548</t>
  </si>
  <si>
    <t>B：535连续两根单长条，第二根右手长条按住过4cb爆
E：右手三对双打后，右手普通球</t>
  </si>
  <si>
    <t>A132</t>
  </si>
  <si>
    <t>A：112右手条后，爆第二个右手白球
E：右手二连点后，左手白球</t>
  </si>
  <si>
    <t>B：三个散点后，爆右手单长条（带左手点）
E：连续三对双打后，右手普通球</t>
  </si>
  <si>
    <t>B：348左滑球后，爆第五个普通球（左）（接近双爆）
E：左手 单长条后，第二个球（右结束）</t>
  </si>
  <si>
    <t>B407</t>
  </si>
  <si>
    <t>B：一爆后，爆第一个单点（右）
E：第二波连续散点后，过右手普通球吃到左白球</t>
  </si>
  <si>
    <t>A：第一次副歌中，左手二连点后爆右手普通球
E：左手白球后，右手普通球</t>
  </si>
  <si>
    <t>B522</t>
  </si>
  <si>
    <t>B：517左手条后第二次副歌，爆左手普通求
E：左手普通球后，吃完右手二连点</t>
  </si>
  <si>
    <t>A230</t>
  </si>
  <si>
    <t>A：221右手条后，爆连续普通球第五个（右）
E：连续散点最后，左手二连点紧接着的双打</t>
  </si>
  <si>
    <t>B681</t>
  </si>
  <si>
    <t>B：675右手条&amp;左单点后，爆左手单长条
E：连续散点后，踩左手条接到右手白球</t>
  </si>
  <si>
    <t>A164</t>
  </si>
  <si>
    <t>A：左手白球
E：左手单点</t>
  </si>
  <si>
    <t>B：右手白球
E：右手单点</t>
  </si>
  <si>
    <t>A62</t>
  </si>
  <si>
    <t>A：57右手条后，爆左手普通球
E：右手滑球后，紧接着的连续普通球第二个（右）</t>
  </si>
  <si>
    <t>B253</t>
  </si>
  <si>
    <t>B：两个右手普通球后，爆左手白球
E：右手二连点后，紧接着的左手普通球</t>
  </si>
  <si>
    <t>B270</t>
  </si>
  <si>
    <t>B：B开右手单长条后，过左手滑球爆双打
E：右手白球后，第二次双打</t>
  </si>
  <si>
    <t>B335</t>
  </si>
  <si>
    <t>B：331左手白球后，爆第二次双打
E：连续两对双打后，左手白球</t>
  </si>
  <si>
    <t>A345</t>
  </si>
  <si>
    <t>A：335左手条&amp;右单点后，爆左手普通球
E：左手条后连续散点中，吃完第一组二连点（左）</t>
  </si>
  <si>
    <t>B：714左手条后，爆第二个球（左手白球)
E：踩左手条吃到右手第二个球（滑球）</t>
  </si>
  <si>
    <t>B592</t>
  </si>
  <si>
    <t>B：高潮最后一句，爆第三次双长条。
E：双长条后的普通球。</t>
  </si>
  <si>
    <t>B1145</t>
  </si>
  <si>
    <t>B：结尾第二次右手白球过后，爆左手白球。
E：歌曲结束，双长条结束。</t>
  </si>
  <si>
    <t>邮递马车</t>
  </si>
  <si>
    <t>B249</t>
  </si>
  <si>
    <t>B：B段第三根单长条（右）。
E：右手条按住，接到左手第四个普通球。</t>
  </si>
  <si>
    <t>B：高潮三波结束后，空隙后，爆左手普通球。
E：左手普通球。</t>
  </si>
  <si>
    <t>A：161左手条后，爆左手白球
E：连续散点最后，吃完右手二连点</t>
  </si>
  <si>
    <t>B471</t>
  </si>
  <si>
    <t>B：464右手条后，爆右手白球
E：连续散点最后，吃完左手二连点</t>
  </si>
  <si>
    <t>B458</t>
  </si>
  <si>
    <t>B：右手单长条&amp;左手普通球。
E：右手二连点后，左手滑球。</t>
  </si>
  <si>
    <t>B：踩569右手条爆第二个左手普通球。
E：踩右手条接到左手三连点前两个。</t>
  </si>
  <si>
    <t>B：踩569右手条爆第二个左手普通球。
E：踩右手条接到左手三连点前两个。「备注」</t>
  </si>
  <si>
    <t>直到世界终结(困难版)</t>
  </si>
  <si>
    <t>B：连续两组二连单长条后，爆左手单长条
E：左手按住接到右手滑球</t>
  </si>
  <si>
    <t>B889</t>
  </si>
  <si>
    <t>B：左手滑球后，爆右手普通球
E：右手条按住接到左手普通球</t>
  </si>
  <si>
    <t>描述一</t>
  </si>
  <si>
    <t>描述二</t>
  </si>
  <si>
    <t>A125</t>
  </si>
  <si>
    <t>A：左手单点
E：左手滑条</t>
  </si>
  <si>
    <t>A279</t>
  </si>
  <si>
    <t>A：左滑条按住爆
E：左手单点</t>
  </si>
  <si>
    <t>A：159左滑条后，爆右单点.（假)
E：左单点后，左滑点.</t>
  </si>
  <si>
    <t>B257</t>
  </si>
  <si>
    <t>B：B开，爆左单点.
E：右滑点后，左单点.</t>
  </si>
  <si>
    <t>A：159左灣条后，爆右单点.
E：左单点后，左滑点.</t>
  </si>
  <si>
    <t>A：213左直条右滑点后,爆第三个单点(左)
E：右滑点后,双点。(双排一样)</t>
  </si>
  <si>
    <t>B703</t>
  </si>
  <si>
    <t>B：690右直条+左滑点后,爆第三个单点(右)
E：左滑点后,双点。(双排一样)</t>
  </si>
  <si>
    <t>A：213左直条+右滑点后,爆第三个单点(左)
E：右滑点后,双点。(双接一样)</t>
  </si>
  <si>
    <t>A721</t>
  </si>
  <si>
    <t>A：双点
E：左单点+右直条</t>
  </si>
  <si>
    <t>B1097</t>
  </si>
  <si>
    <t>B：左直条+右点
E：右手直条</t>
  </si>
  <si>
    <t>A：165左滑条+右滑点按住抱右手单点
E：左滑点</t>
  </si>
  <si>
    <t>B816</t>
  </si>
  <si>
    <t>B：810左滑点+右滑条按住爆左单点
E：右手单点</t>
  </si>
  <si>
    <t>A372</t>
  </si>
  <si>
    <t>A：367右手滑条按住爆左手单点
E：右手滑点</t>
  </si>
  <si>
    <t>B988</t>
  </si>
  <si>
    <t>B：983左滑条按住爆右手单点
E：左手滑点</t>
  </si>
  <si>
    <t>A：副歌,左二连点后,爆右二连点第二个。
E：第四次双滑点。(双排同分)(备注)</t>
  </si>
  <si>
    <t>B：副歌,右滑条&amp;左三单点后,爆紧接的左单点。
E：第四次双滑点。(双排同分)(备注)</t>
  </si>
  <si>
    <t>A：导歌开,双点后,空气后,爆左滑条。
E：右滑条后,左三连点。</t>
  </si>
  <si>
    <t>B：B开过双滑条,左直条按住过2cb爆。(弹珠单爆点)
E：间奏结束,左二连点。</t>
  </si>
  <si>
    <t>B：左点右滑点
E：左点右直条</t>
  </si>
  <si>
    <t>B1169</t>
  </si>
  <si>
    <t>B：右点左滑点
E：右点左直条</t>
  </si>
  <si>
    <t>A487</t>
  </si>
  <si>
    <t>A：473左直条+右点后,过右滑点,爆右直条&amp;左单点。
E：一堆散点,倒数第二个(右)。(备注)</t>
  </si>
  <si>
    <t>B1160</t>
  </si>
  <si>
    <t>B：过1148左直条+点后,1158右直条按住,爆左单点。
E：1254右滑条按住,左滑点中(3/4)</t>
  </si>
  <si>
    <t>A：左直条按住,爆右单点。(存)
E：A段结束,双点。</t>
  </si>
  <si>
    <t>B：左滑条后,爆左下单点。
E：两次二连点后,第二组双点。</t>
  </si>
  <si>
    <t>A：导歌中,中间三连点后,爆双点。
E：A段结束,双点。</t>
  </si>
  <si>
    <t>B：副歌,左滑条后,爆第五个单点:右下单点。
E：右下三连点。</t>
  </si>
  <si>
    <t>B686</t>
  </si>
  <si>
    <t>B：导歌,右滑条后,过两次滑点,爆左上三连点。
E：左下二连点。</t>
  </si>
  <si>
    <t>A：副歌，双点后，过空气，爆右长滑点&amp;左单点。
E：第六组，右直条头&amp;左单点。</t>
  </si>
  <si>
    <t>B：副歌，双点后，过空气，爆左长滑点&amp;右单点。
E：第六组，左直条头&amp;右单点。</t>
  </si>
  <si>
    <t>A433</t>
  </si>
  <si>
    <t>A： 426右滑条后，过空气，爆左短滑点。(存)
E： A段结束，双直条尾。</t>
  </si>
  <si>
    <t>B853</t>
  </si>
  <si>
    <t>B： 844右直条后， 过左短滑点，爆右单点。(假)
E：右直条后，四个单点(左)。</t>
  </si>
  <si>
    <t>A341</t>
  </si>
  <si>
    <t>A： 331左直条后，爆第-一个右单点。
结束】左直条后，右二连点。</t>
  </si>
  <si>
    <t>B506</t>
  </si>
  <si>
    <t>B：496右滑条后,过两个左滑点,螺纵连(右)。
E：一堆单点后,左滑点。</t>
  </si>
  <si>
    <t>B：656左直条按住,爆右二连点。
E：733左直条后,从右往左第五个单点。</t>
  </si>
  <si>
    <t>B：496右滑条后,过两个左滑点,爆纵连(右)。
E：一堆单点后,左滑点。</t>
  </si>
  <si>
    <t>B779</t>
  </si>
  <si>
    <t>B：间奏中,右短滑点后,爆左二连点。
E：多次双点后,双直条尾。</t>
  </si>
  <si>
    <t>B：双直条后,911双长滑条拖住,过12cb爆。
E：左长滑点尾。</t>
  </si>
  <si>
    <t>B921</t>
  </si>
  <si>
    <t>B：双直条后,911双长滑条拖住,过10b爆。
E：左长滑点尾。</t>
  </si>
  <si>
    <t>A286</t>
  </si>
  <si>
    <t>A：右长滑条按住，爆左直条.
E：左二连点后，左滑点.</t>
  </si>
  <si>
    <t>B595</t>
  </si>
  <si>
    <t>B：空气后，592右直条按住，过3cb爆气.
E：左单点后，左滑点.</t>
  </si>
  <si>
    <t>B：右左各一次短直条后，412右滑条拖住，过3cb爆.
E：散点全部吃完(右）.</t>
  </si>
  <si>
    <t>B：双点后，过左滑点，爆左单点.
E：右单点后，右直条中&amp;左单点.</t>
  </si>
  <si>
    <t>B：右左名一次短直条后，412右滑条拖住，过3cb爆.
E：散点全部吃完(右).</t>
  </si>
  <si>
    <t>Born This Way</t>
  </si>
  <si>
    <t>A：双滑条后，过空气和俩单点，爆第一次双点.
E：左三个散点后，双点.(备注)</t>
  </si>
  <si>
    <t>A240</t>
  </si>
  <si>
    <t>A：副歌后高潮，右四个散点后，爆第一次双点.
E：右四个散点后，第一次双点.</t>
  </si>
  <si>
    <t>A254</t>
  </si>
  <si>
    <t>A：右长滑条后，副歌开始，爆第二次双点.
E：右滑点尾.</t>
  </si>
  <si>
    <t>B765</t>
  </si>
  <si>
    <t>B：副歌开，爆第二次短滑点:左上短滑点.
E：右下长滑点尾.</t>
  </si>
  <si>
    <t>B：副歌开，爆第二次短滑点:左上短滑点.
E：右下长滑点尾</t>
  </si>
  <si>
    <t>A：主歌，左短滑条后，爆右短滑点.
E：第二次双点后，左单点.</t>
  </si>
  <si>
    <t>B：中间三连点后，爆右下短滑点.
E：双直条尾.</t>
  </si>
  <si>
    <t>B：中间三连点后，爆右下短滑点.
E：双直条尾</t>
  </si>
  <si>
    <t>A320</t>
  </si>
  <si>
    <t>A：左滑条&amp;右单点后，爆左二连点.〔存)
E：A段结束，双滑条尾.</t>
  </si>
  <si>
    <t>B509</t>
  </si>
  <si>
    <t>B：右手连续三个单点后，爆右滑点.〔极)
E：右滑点后，左单点.（偷)</t>
  </si>
  <si>
    <t>B：500后，爆第三次滑点:右上长滑点.
E：左直条按住，右下单点.</t>
  </si>
  <si>
    <t>Booty Music</t>
  </si>
  <si>
    <t>A：左直条接右单点后，爆左起连点第一个.
E：右直条后，第三个单点（左).</t>
  </si>
  <si>
    <t>B563</t>
  </si>
  <si>
    <t>B：553左滑条拖住，过10cb爆.
E：左单点后，右二连点.</t>
  </si>
  <si>
    <t>A：左直条接右单点后，爆左起连点第一个.
E：右直条后，第三个单点(左).</t>
  </si>
  <si>
    <t>A：导歌最后，左滑条后，爆右上单点.
E：左直条尾&amp;右滑条头.</t>
  </si>
  <si>
    <t>B554</t>
  </si>
  <si>
    <t>B：副歌中，右下滑点后，空气后，爆双点.
E：右上直条按住，左中单点.</t>
  </si>
  <si>
    <t>A：导歌,162左滑条后,爆第三次短滑点:右上滑点。
E：左四连点。</t>
  </si>
  <si>
    <t>B：副歌,左滑条后,过右滑点,爆左下&amp;底部双点。
E：左长滑点后,第二次双点。</t>
  </si>
  <si>
    <t>A95</t>
  </si>
  <si>
    <t>A：主歌,92空气后,爆第四个单点:中间单点。
E：右短滑条尾&amp;左单点。</t>
  </si>
  <si>
    <t>A393</t>
  </si>
  <si>
    <t>A：主歌,390空气后,爆第四个单点:右下单点。
E：左短滑条尾&amp;右单点。</t>
  </si>
  <si>
    <t>B286</t>
  </si>
  <si>
    <t>B：B开,爆右中二连点。
E：左滑条+单点后,右中单点。(备注)</t>
  </si>
  <si>
    <t>B：一爆后,过两个单点,爆左中单点。(接近双爆)
E：右下直条尾&amp;左上单点。(备注)</t>
  </si>
  <si>
    <t>B：B开,爆右中二连点。
E：左滑条+单点后,右中单点。</t>
  </si>
  <si>
    <t>BBT？</t>
  </si>
  <si>
    <t>A493</t>
  </si>
  <si>
    <t>A：空气后，第三组左滑条+右滑点。(存)
E： A段结束，左滑条尾。</t>
  </si>
  <si>
    <t>B：左短滑点后，右滑点。
E：右直条中&amp;第三个左滑点尾。</t>
  </si>
  <si>
    <t>B980</t>
  </si>
  <si>
    <t>B：右左两个单点后，过空气，爆右滑条&amp;左单点。
E：右直条中&amp;左手第二个单点。</t>
  </si>
  <si>
    <t>A：导歌中,两次双点后,爆左滑点
E：左直条&amp;右滑条尾。</t>
  </si>
  <si>
    <t>A：导歌第三次,右短滑点后,爆左单点。(接双滑条)
E：双滑条尾。</t>
  </si>
  <si>
    <t>A376</t>
  </si>
  <si>
    <t>A：导歌最后,右直条按住,爆左第三次滑点。
E：右直条按住,左直条后左二连点。</t>
  </si>
  <si>
    <t>B：导歌后半,右左各一次直条后,爆左单点。
E：右短滑点后,双点。</t>
  </si>
  <si>
    <t>A：第三次单点接直条(右)按住,爆左三连点。(存)
E：A段结束,左滑点尾。</t>
  </si>
  <si>
    <t>B759</t>
  </si>
  <si>
    <t>B：第三次直条+滑点爆。右直条按住,爆左滑点。
E：歌曲结束,双滑点。</t>
  </si>
  <si>
    <t>B：第二次直条+滑点爆:右直条按住。爆左滑点。
E：第二组双点。</t>
  </si>
  <si>
    <t>A244</t>
  </si>
  <si>
    <t>A：副歌中,左直条后,爆右短滑点。
E：左滑条尾&amp;右单点。(双排一样)(备注)</t>
  </si>
  <si>
    <t>B567</t>
  </si>
  <si>
    <t>B：副歌中,右直条后,爆左短滑点。
E：右滑条尾&amp;左单点。(双排一样)(备注)</t>
  </si>
  <si>
    <t>A：352左滑条后,过空气,爆右滑条&amp;左滑点
E：右滑条尾&amp;左滑点。</t>
  </si>
  <si>
    <t>B：左单点接488左滑条后,爆右二连点。(假）
E：左短滑点后,右单点。</t>
  </si>
  <si>
    <t>A：352左滑条后,过空气,爆右滑条&amp;左滑点。
E：右滑条尾&amp;左滑点。(备注)</t>
  </si>
  <si>
    <t>A346</t>
  </si>
  <si>
    <t>A：几个散点后,344左滑条按住,过2cb爆气。(存)
E：A段结束,双滑条尾。(备注)</t>
  </si>
  <si>
    <t>B843</t>
  </si>
  <si>
    <t>B：中间单点后,小段空气,爆左滑条&amp;右单点
E：左滑条尾&amp;右直条中</t>
  </si>
  <si>
    <t>A339</t>
  </si>
  <si>
    <t>A：334左清条后,爆右单点。
E：A段结束,双滑条尾。(备注)</t>
  </si>
  <si>
    <t>A：左手拐条尾爆右手单点（存）
E：结尾双点</t>
  </si>
  <si>
    <t>B1015</t>
  </si>
  <si>
    <t>B：1010左手直条+右手单点按住爆右手单点
E：右手滑条</t>
  </si>
  <si>
    <t>B：左手滑点后让单点爆左手直条+右手单点
E：右手单点+左手滑条</t>
  </si>
  <si>
    <t>A507</t>
  </si>
  <si>
    <t>A：二次副歌最后,右二连点接条按住,爆左滑点。
E：左长滑条中&amp;右直条中。</t>
  </si>
  <si>
    <t>B1116</t>
  </si>
  <si>
    <t>B：二次副歌最后,左二连点接条按住,爆右滑点。
E：左直条中&amp;右长滑条中。</t>
  </si>
  <si>
    <t>A：176滑条后爆第二个左单点
E：左滑点</t>
  </si>
  <si>
    <t>A739</t>
  </si>
  <si>
    <t>A：右手第二个单点
E：右手滑点</t>
  </si>
  <si>
    <t>A363</t>
  </si>
  <si>
    <t>A：导歌后半,右滑条后,爆第一组双点。
E：右短滑点头。</t>
  </si>
  <si>
    <t>B552</t>
  </si>
  <si>
    <t>B：B开,右直条按住,马上爆左二连点。
E：左滑条尾&amp;右单点。</t>
  </si>
  <si>
    <t>A：第二次副歌中,右滑点后爆左三连点的最后一个点。
E：右长滑点中(16/17)。(双排一样)</t>
  </si>
  <si>
    <t>B：第二次副歌中,左滑点后爆右三连点的最后一个点。
E：左长滑点中(16/17)。(双排一样)</t>
  </si>
  <si>
    <t>A：第二次副歌中,右滑点后爆左三连点的最后一个点。
E：右长滑点中(16/17)。(双排一样）。</t>
  </si>
  <si>
    <t>A311</t>
  </si>
  <si>
    <t>A：副歌开始,双直条后,爆左第三个单点。
E：双长滑条尾。(备注)</t>
  </si>
  <si>
    <t>B847</t>
  </si>
  <si>
    <t>B：高潮部分,五连点后,过右单点。爆双滑点。
E：双直条后,第四组双点。</t>
  </si>
  <si>
    <t>B：高潮部分,五连点后,过右单点,爆双滑点。
E：双直条后,第四组双点。</t>
  </si>
  <si>
    <t>A：442右滑条+单点后,爆左滑条&amp;右直条。
E：双点后,左单点&amp;右滑点。(双排一样)</t>
  </si>
  <si>
    <t>B1017</t>
  </si>
  <si>
    <t>B：1011左滑条=单点后,爆右滑条&amp;左直条。
E：双点后,右单点&amp;左滑点。(双排一样)</t>
  </si>
  <si>
    <t>A：第二次主歌,106双直条后,爆第四组双点。
E：连续三组双点。</t>
  </si>
  <si>
    <t>A：四次滑条+点后,爆第八组双点。
E：第二次滑条尾&amp;三连点。(备注)</t>
  </si>
  <si>
    <t>Al30</t>
  </si>
  <si>
    <t>A441</t>
  </si>
  <si>
    <t>A：425左滑点后,爆第四对双点。
E：双点后双滑点中(3/4)。</t>
  </si>
  <si>
    <t>A563</t>
  </si>
  <si>
    <t>A：两个单点后,过558右直条,爆左二连点。
E：A段结束,左直条后,右单点。(偷)</t>
  </si>
  <si>
    <t>B411</t>
  </si>
  <si>
    <t>B：左手单点
E：右滑点</t>
  </si>
  <si>
    <t>B：右滑点
E：左滑点</t>
  </si>
  <si>
    <t>A273</t>
  </si>
  <si>
    <t>A：右手滑点后爆左手单点
E：左手滑点</t>
  </si>
  <si>
    <t>B：左手滑点后右手单点
E：右手滑点</t>
  </si>
  <si>
    <t>当你</t>
  </si>
  <si>
    <t>B459</t>
  </si>
  <si>
    <t>B：副歌中，左三连点后，爆左上单点.
E：右两个点后，双点.</t>
  </si>
  <si>
    <t>B：四次短滑点后，过一单点，爆右滑条.
E：左三连点.</t>
  </si>
  <si>
    <t>爆气(非压爆带极限)</t>
  </si>
  <si>
    <t xml:space="preserve">B：四次短滑点后，过一单点，爆右滑条.
E：左三连点. </t>
  </si>
  <si>
    <t>B475</t>
  </si>
  <si>
    <t>B：空气后，过双点接左滑条，爆双点.(假)
E：从左往右四个单点.</t>
  </si>
  <si>
    <t>B767</t>
  </si>
  <si>
    <t>B：右短滑条后，759左滑条按住，爆第一个右滑点.
E：左滑条中&amp;右滑条尾.</t>
  </si>
  <si>
    <t>Doraradora</t>
  </si>
  <si>
    <t>A：副歌中,左滑条后,爆第二次双点。
E：右滑点尾。</t>
  </si>
  <si>
    <t>B874</t>
  </si>
  <si>
    <t>B：高潮,两次双点后,左单点接滑条,滑条拖2cb爆。
E：歌曲结束,双点。</t>
  </si>
  <si>
    <t>A165</t>
  </si>
  <si>
    <t>A：142双条后,爆右直条&amp;左滑条。
E：左滑条尾&amp;右直条尾。(双排一样)</t>
  </si>
  <si>
    <t>B624</t>
  </si>
  <si>
    <t>B：601双条后,爆左直条&amp;右滑条。
E：左直条尾&amp;右滑条尾。(双排一样)</t>
  </si>
  <si>
    <t>B：493右滑条后,右直条按住,过2cb爆
E：右长滑点后,第一组双点。(备注)</t>
  </si>
  <si>
    <t>B：让过852左滑条,862左滑条拖住,过2cb爆。
E：左长滑点后,第一组双点。(备注)</t>
  </si>
  <si>
    <t>A68</t>
  </si>
  <si>
    <t>A：开局第四根条(右直条)按住,结束时爆&amp;左滑点。
E：右直条尾&amp;左单点。</t>
  </si>
  <si>
    <t>A：主歌部分,左直条按住,结束时爆&amp;右滑点。
E：左直条尾&amp;右单点。</t>
  </si>
  <si>
    <t>A186</t>
  </si>
  <si>
    <t>A：副歌中间,181右滑点后,爆左二连点。
E：右滑点后,左二连点第一个。(备注)</t>
  </si>
  <si>
    <t>B：右单点接直条按住,爆左三连点第二个。
E：左二连点后,紧接双点。</t>
  </si>
  <si>
    <t>A217</t>
  </si>
  <si>
    <t>A：198左滑条后,过右手两个滑点,爆左单点。
E：左手两个单点。(双排一样)</t>
  </si>
  <si>
    <t>B：554右滑条后,过左手两个滑点,爆右单点。
E：右手两个单点。(双排一样)</t>
  </si>
  <si>
    <t>A555</t>
  </si>
  <si>
    <t>A：左单点后，553左直条按住，爆右单点。(存)
E： A段结束，第三组双点。(偷)</t>
  </si>
  <si>
    <t>B1209</t>
  </si>
  <si>
    <t>B： 1202右滑条+ 单点后，爆右直条&amp;左单点。
E：两个长滑点后，右滑条头。(备注)</t>
  </si>
  <si>
    <t>B1274</t>
  </si>
  <si>
    <t>B： 1260右滑条按住， 爆左手第一个单点。
E：左长滑点中(11/15) 。(备注)</t>
  </si>
  <si>
    <t>B：左滑轨
E：左滑轨</t>
  </si>
  <si>
    <t>B610</t>
  </si>
  <si>
    <t>B：609右滑轨按住2cb
E：左滑点</t>
  </si>
  <si>
    <t>A：空气后，过左右两个单点，爆左三连点.
E：右滑条尾.</t>
  </si>
  <si>
    <t>B：左手两个单点后，过右滑点，爆左单点. 
E：右直条后，左手二连点.</t>
  </si>
  <si>
    <t>A461</t>
  </si>
  <si>
    <t>A：454左滑条后，爆右单点.(存) 
E：A段结束，双点.</t>
  </si>
  <si>
    <t>B：584右长滑条后，爆右单点.
E：右滑条尾&amp;左单点.</t>
  </si>
  <si>
    <t>B：584右长滑条后，爆右单点.
E：底部三个单点〔右).</t>
  </si>
  <si>
    <t>A："whereareuow"爆"ow"双滑条。
E：双长滑条中。</t>
  </si>
  <si>
    <t>B968</t>
  </si>
  <si>
    <t>B："whereareuow"爆"ow"双滑条。
E：右长滑条中&amp;左单点。</t>
  </si>
  <si>
    <t>Fight for You-潘玮柏</t>
  </si>
  <si>
    <t>A385</t>
  </si>
  <si>
    <t>A："如果未来充满困惑",右二连点接条,爆滑条
E：连续四组二连点。(接近双爆)。</t>
  </si>
  <si>
    <t>A：连续四组二连点后,爆第一组双点。(备注)
E：A段结束,右四连点后,双点。(接近双爆)</t>
  </si>
  <si>
    <t>A：右二连点接滑条后,爆第二个单点:右单点。
E：连续两组双点。</t>
  </si>
  <si>
    <t>A98</t>
  </si>
  <si>
    <t>A：主歌,右直条后,爆第一次双点
E：左直条&amp;右滑条尾。</t>
  </si>
  <si>
    <t>B：B开,爆左长滑点。
E：右长滑条头。</t>
  </si>
  <si>
    <t>A：多组二连点后,爆纵连第一个单点(右)。(存)
E：A段结束,左直条尾&amp;右滑点。(备注)</t>
  </si>
  <si>
    <t>B1122</t>
  </si>
  <si>
    <t>B：多组二连点后,爆纵连第一个单点(左)
E：右短滑点后,纵连结束(左)。</t>
  </si>
  <si>
    <t>B1193</t>
  </si>
  <si>
    <t>B：1186右直条+左单点后,过左单点,爆左滑点。
E：左手二连点后,第四个单点(左)。(备注)</t>
  </si>
  <si>
    <t>B430</t>
  </si>
  <si>
    <t>B：两次双点后,过两个点,爆右下单点。(极)
E：右滑点后,第一组双点。(偷)</t>
  </si>
  <si>
    <t>B619</t>
  </si>
  <si>
    <t>B：两次双点后,过短滑点,爆右第三个单点:右上点。
E：多个散点后,双点。</t>
  </si>
  <si>
    <t>B：两次双点后,过短滑点,爆右第三个单点:右上点
E：多个散点后,双点.</t>
  </si>
  <si>
    <t>A272</t>
  </si>
  <si>
    <t>A：265左直条后,过右二连点,爆左滑点。
E：右滑点后,右二连点的第一个单点。(双排一样)</t>
  </si>
  <si>
    <t>B：840右直条后,过左二连点,爆右滑点。
E：左滑点后,左二连点的第一个单点。(双排一样)</t>
  </si>
  <si>
    <t>A270</t>
  </si>
  <si>
    <t>A：265左直条后,过右二连点,爆左滑点。
E：右滑点后,右二连点的第一个单点。(备注)</t>
  </si>
  <si>
    <t>A：导歌中，右滑点后，过空气，爆左三连点.
E：左滑条头.</t>
  </si>
  <si>
    <t>B：桥段，右上滑点后，左滑条拖住，爆第一个右单点.
E：左直条按住，右第一个点.</t>
  </si>
  <si>
    <t>A208</t>
  </si>
  <si>
    <t>A：203左手滑条后爆右手滑条
E：右手滑条</t>
  </si>
  <si>
    <t>A：左手滑点
E：右手单点</t>
  </si>
  <si>
    <t>A：右手单点
E：双滑条</t>
  </si>
  <si>
    <t>B：826左手直条后爆右手滑点
E：左手滑条</t>
  </si>
  <si>
    <t>A554</t>
  </si>
  <si>
    <t>A： 543左直条后, 爆双滑条。
E：右单点接右直条头。</t>
  </si>
  <si>
    <t>B： 917左单点接左直条后，爆右滑点。(极)
E：三组三连点后.右滑点中(24/28)</t>
  </si>
  <si>
    <t>B： 917左单点接左直条后，爆右滑点。(极)
E：三组三连点后，右滑点中(24/28) 。</t>
  </si>
  <si>
    <t>6星？</t>
  </si>
  <si>
    <t>A： 159右直条后， 过左单点，爆左单点&amp;右滑点.
E：左滑点后，右二连点.(双排一样)</t>
  </si>
  <si>
    <t>B： 439左直条后， 过右单点，爆右单点&amp;左滑点.
E：右滑点后，左二连点.(双排- -样)</t>
  </si>
  <si>
    <t>A584</t>
  </si>
  <si>
    <t>A：568右滑条后,爆第二次右短滑点。(存)
E：A段结束,右长滑点尾&amp;左单点。</t>
  </si>
  <si>
    <t>B：1106双滑条后,第二次左直条按住过1cb爆,难。
E：歌曲结束,左长滑点尾&amp;右单点。(备注)</t>
  </si>
  <si>
    <t>B：四次短滑点+右单点后,爆左滑点&amp;右直条。
E：歌曲结束,左长滑点尾&amp;右单点。</t>
  </si>
  <si>
    <t>A304</t>
  </si>
  <si>
    <t>A：导歌,右直条后,爆左二连点第二个。
E：左滑点尾&amp;右单点。</t>
  </si>
  <si>
    <t>B：导歌最后,左直条后,爆第一次双点。
E：连续三次二连点,第三次二连点(左)第一个。</t>
  </si>
  <si>
    <t>B523</t>
  </si>
  <si>
    <t>B：右手滑条后左手单点
E：右手滑条</t>
  </si>
  <si>
    <t>B：644右手滑条按住1cb
E：左手滑条</t>
  </si>
  <si>
    <t>B：左两个短滑点后，爆第二个单点:左下单点.
E：左下二连点第一-个.</t>
  </si>
  <si>
    <t>B：左下短滑点后，爆右下短滑点.
E：三组双点.</t>
  </si>
  <si>
    <t>B：左下短滑点后.爆右下短滑点.
E：三组双点.</t>
  </si>
  <si>
    <t>B：右手二连点后，过两个单点，爆右单点.
E：右手两个单点后，左单点，(备注)</t>
  </si>
  <si>
    <t>B：482右直条后，过第二个滑点，爆左手第二个单点.
E：两组二连点后，过左单点，左滑点.</t>
  </si>
  <si>
    <t>A572</t>
  </si>
  <si>
    <t>A：左短滑条拖住,爆滑条尾&amp;右长滑点。(存)
E：A段结束,右长滑点尾。</t>
  </si>
  <si>
    <t>B858</t>
  </si>
  <si>
    <t>B：间奏,左右各一次滑条后,845左直条接住,爆右单点。
E：右直条尾&amp;左单点。</t>
  </si>
  <si>
    <t>B：间奏,左右各一根滑条后,854左直条按住,爆右单点
E：左滑点中(3/5)</t>
  </si>
  <si>
    <t>Hey Baby 你是我的</t>
  </si>
  <si>
    <t>B：B开爆左短滑点。
E：右两次滑点后,第三个单点。右单点。</t>
  </si>
  <si>
    <t>B1096</t>
  </si>
  <si>
    <t>B：副歌中,右四连点,爆第二个。
E：左滑点尾。(备注)</t>
  </si>
  <si>
    <t>B：B开,爆左短滑点
E：右两次滑点后,第三个单点,右单点。</t>
  </si>
  <si>
    <t>A：导歌中,231左滑条拖住,爆滑条尾&amp;右直条。
E：右五个单点。</t>
  </si>
  <si>
    <t>B：副歌中,939双长滑条,拖4cb爆,难。
E：右滑条&amp;左单点后,双点。(备注)</t>
  </si>
  <si>
    <t>A：导歌中,231左滑条拖住,爆滑条尾&amp;右直条
E：右五个单点。</t>
  </si>
  <si>
    <t>A321</t>
  </si>
  <si>
    <t>A：导歌,288双直条后,第三个滑条(左)拖一半爆。
E：连续三组双点。</t>
  </si>
  <si>
    <t>B903</t>
  </si>
  <si>
    <t>B：女声副歌第二次左二连点后,爆右单点。
E：左长滑点尾&amp;右单点。</t>
  </si>
  <si>
    <t>A：导歌,288双直条后,第三个滑条(左)拖一半爆
E：连续三组双点。</t>
  </si>
  <si>
    <t>A457</t>
  </si>
  <si>
    <t>A：单点后爆双滑条（存）
E：双滑条</t>
  </si>
  <si>
    <t>B1099</t>
  </si>
  <si>
    <t>B：空白后爆右手单点
E：双长条</t>
  </si>
  <si>
    <t>B1215</t>
  </si>
  <si>
    <t>B：双直条
E：双直条</t>
  </si>
  <si>
    <t>Hold You Tonight</t>
  </si>
  <si>
    <t>A501</t>
  </si>
  <si>
    <t>A：第一组双点（存）
E：左滑条尾+右手单点</t>
  </si>
  <si>
    <t>B827</t>
  </si>
  <si>
    <t>B：816直条后爆双点
E：右手单点</t>
  </si>
  <si>
    <t>A：第一组双点
E：左手直条+右手滑条</t>
  </si>
  <si>
    <t>A：271右滑条后，过空气，爆左单点.(假)
E：324左滑条后，三个单点(右).</t>
  </si>
  <si>
    <t>B：390左滑条按住，过9cb(第二个拐点)爆气，
E：右手两个单点后，右滑点.</t>
  </si>
  <si>
    <t>A：271右滑条后，过空气，爆左单点.
E：324左滑条后.三个单点《右).</t>
  </si>
  <si>
    <t>A：左滑点后，过462右直条，爆紧接的左单点。
E：几个单点后，双点。(双排一样)</t>
  </si>
  <si>
    <t>B：右滑点后，过1113左直条， 爆紧接的右单点。
E：几个单点后，双点。(双排一样)</t>
  </si>
  <si>
    <t>A： 191双点后， 过几个散点，爆左直条&amp;右滑条。
E：两组双点后，第三个点(左)。(备注)</t>
  </si>
  <si>
    <t>B640</t>
  </si>
  <si>
    <t>B： 634左直条后，过右单点，爆左单点。
E：双滑条尾。</t>
  </si>
  <si>
    <t>B633</t>
  </si>
  <si>
    <t>B：间奏中,右二连点后,爆第三个单点,左单点。
E：右第二次长滑点尾</t>
  </si>
  <si>
    <t>B：右短滑点后,爆左长滑点。(接近双爆)
E：左长滑点后,右短滑点尾。(备注)</t>
  </si>
  <si>
    <t>B：间奏中,右二连点后,爆第三个单点,左单点。
E：右第二次长滑点尾。</t>
  </si>
  <si>
    <t>A359</t>
  </si>
  <si>
    <t>A：348右滑条后,爆第二个左滑点。
E：右长滑条后,左滑点。</t>
  </si>
  <si>
    <t>B：左短滑条后,过915右滑条,爆左单点。
E：984左直条尾&amp;右单点。</t>
  </si>
  <si>
    <t>B：副歌开,"knewuwere"后爆连续双点。
E：双直条中。</t>
  </si>
  <si>
    <t>B：副歌中,双长滑条后,第一次双点后,爆左单点
E：连续五组双点,第五组。</t>
  </si>
  <si>
    <t>B：副歌中,双长滑条后,第一次双点后,爆左单点。
E：连续五组双点,第五组。</t>
  </si>
  <si>
    <t>A444</t>
  </si>
  <si>
    <t>A：437左直条后,过右二连点,爆左滑点。
E：左直条后,第三个单点:右。(双排一样)(备注)。</t>
  </si>
  <si>
    <t>B900</t>
  </si>
  <si>
    <t>B：893左直条后,过右二连点爆左滑点
E：左直条后,第三个单点:右。(双排一样)(备注)</t>
  </si>
  <si>
    <t>A：437左直条后,过右二连点，爆左滑点。
E：左直条后,第三个单点:右。(双排一样)(备注)</t>
  </si>
  <si>
    <t>A：251左直条后,过右短滑点,爆连续双点。
E：双直条中。(双排一样)</t>
  </si>
  <si>
    <t>B919</t>
  </si>
  <si>
    <t>B：912右直条后,过左短滑点爆连续双点。
E：双直条中。(双排一样)</t>
  </si>
  <si>
    <t>A：251左直条后,过右短滑点，爆连续双点。
E：双直条中。(双排一样)</t>
  </si>
  <si>
    <t>Just Dance-王一博</t>
  </si>
  <si>
    <t>A205</t>
  </si>
  <si>
    <t>A：左上短滑点后，爆右下单点.
E：左下单点.</t>
  </si>
  <si>
    <t xml:space="preserve">B：右上短滑点后，爆左下单点.
E：右下单点. </t>
  </si>
  <si>
    <t>B：右上短滑点后，爆左下单点.
E：右下单点.</t>
  </si>
  <si>
    <t>Just Dance-Lady GaGa</t>
  </si>
  <si>
    <t>A234</t>
  </si>
  <si>
    <t xml:space="preserve">A：中间三连点后，爆双滑条.
E：两对双点第一对. </t>
  </si>
  <si>
    <t>B：左下短滑点后，爆右长滑点.
E：右短直条结束&amp;左下单点.门 Ln</t>
  </si>
  <si>
    <t>B：左下短滑点后，爆右长滑点.
E：右短直条结束&amp;左下单点.</t>
  </si>
  <si>
    <t>A322</t>
  </si>
  <si>
    <t>A：二次导歌。右二连点后。爆左二连点。
E：两次二连点后,双点。</t>
  </si>
  <si>
    <t>B572</t>
  </si>
  <si>
    <t>B：桥段最后,双点后,爆左直条&amp;右长滑点。
E：两次二连点后,左滑条头。</t>
  </si>
  <si>
    <t>A：副歌第二句,双直条后,爆左四连点接直条。
E：双直条后,第三组双点。</t>
  </si>
  <si>
    <t>A326</t>
  </si>
  <si>
    <t>A：第二次副歌。双直条后,爆右四连点接直条
E：双直条后,第三组双点。(备注)(接近双爆)</t>
  </si>
  <si>
    <t>A：左单点后,爆紧接的左直条。(存)
E：A段结束,双点。(偷)</t>
  </si>
  <si>
    <t>B602</t>
  </si>
  <si>
    <t>B：二次副歌,右单点接直条按住,爆左第一个单点。
E：右滑条尾&amp;左单点。</t>
  </si>
  <si>
    <t>B：第一次副歌最后,右直条左滑点后,爆右单点。
E：左右各一次二连点后,双点。</t>
  </si>
  <si>
    <t>A89</t>
  </si>
  <si>
    <t>A：右三连点后，两组双点，爆第二组.
E：双滑条尾.</t>
  </si>
  <si>
    <t>B356</t>
  </si>
  <si>
    <t>B：右二连点后，爆右下滑条.
E：双点.</t>
  </si>
  <si>
    <t>A：第一次副歌,左右各一个单点后,爆第一组双点。
E：右二连点后,双点。</t>
  </si>
  <si>
    <t>A：第二次副歌,右左各一个单点后,爆第一组双点。
E：双点。</t>
  </si>
  <si>
    <t>A：第二次副歌,右左各个单点后,爆第一组双点。
E：双点。</t>
  </si>
  <si>
    <t>B1006</t>
  </si>
  <si>
    <t>B：三组双点后,爆左单点&amp;右直条。(双爆)(弹珠二爆)
E：左直条+右点后,第九组双点。(非满分)</t>
  </si>
  <si>
    <t>B：三组双点后,爆左单点&amp;右直条头。(弹珠爆)
E：左直条按住,右第五个单点。</t>
  </si>
  <si>
    <t>A618</t>
  </si>
  <si>
    <t>A：两次左滑条+右滑点后,爆左手连点。(存)
E：A段结束,双点。</t>
  </si>
  <si>
    <t>B1219</t>
  </si>
  <si>
    <t>B：连续交互连点接双直条后,爆双滑点。
E：歌曲结束,双点。</t>
  </si>
  <si>
    <t>B1255</t>
  </si>
  <si>
    <t>B：连续交互连点接双直条后,爆第三次双滑点。
E：歌曲结束,双点。</t>
  </si>
  <si>
    <t>恋爱循环</t>
  </si>
  <si>
    <t>A：右上短滑点后，爆左短直条.
E：左长滑点尾.</t>
  </si>
  <si>
    <t>B：左长滑条后，爆右下单点.
【结来】左下单点.</t>
  </si>
  <si>
    <t>A：右上短滑点后，爆左上短直条.
E：左上长滑点结束.</t>
  </si>
  <si>
    <t>A：左短滑条后，爆右下单点.(存)
E：A段结束.</t>
  </si>
  <si>
    <t>B：右短滑条后，燥第三单点:左上单点.
E：双条中.</t>
  </si>
  <si>
    <t>B：双条后，爆左下单点.
E：左下单点.</t>
  </si>
  <si>
    <t>Long Kiss Good Bye</t>
  </si>
  <si>
    <t>A：右短直条后，爆左第二个单点∶左中单点.
E：三组双点第二组.</t>
  </si>
  <si>
    <t>B：右长滑条后，爆双点.
E：右单点.</t>
  </si>
  <si>
    <t>A：右短直条后，爆左第二个单点:左中单点.
E：三组双点第二组.</t>
  </si>
  <si>
    <t>LOVE IT LIVE IT</t>
  </si>
  <si>
    <t>B392</t>
  </si>
  <si>
    <t>B：左下单点接直条按住，爆直条尾&amp;右长滑点.
E：左中单点.</t>
  </si>
  <si>
    <t>B：左长滑条后，爆右下短直条中.
E：左下单点</t>
  </si>
  <si>
    <t>B：左下单点接直条按住.爆直条尾&amp;右长滑点.
E：左中单点.</t>
  </si>
  <si>
    <t>B374</t>
  </si>
  <si>
    <t>B：右手单点
E：左手单点</t>
  </si>
  <si>
    <t>A175</t>
  </si>
  <si>
    <t>A：右S形滑条后,导歌开,爆第一个左上单点。
E：左二连点第一个。</t>
  </si>
  <si>
    <t>B：副歌,“多靠近-点”左滑条后,爆右下单点。
E：第二个滑条(右)尾&amp;左单点。</t>
  </si>
  <si>
    <t>A：右S形滑条后,导歌开,爆第一个左上单点
E：左二连点第一个。</t>
  </si>
  <si>
    <t>B：左滑条后,右直条按住,过3cb爆。
E：左上滑点尾。</t>
  </si>
  <si>
    <t>B：右上单点后,爆左直条&amp;右下单点。
E：双点。</t>
  </si>
  <si>
    <t>A583</t>
  </si>
  <si>
    <t>A：双点后,左滑条拖住,爆右第二组滑点。
E：长滑点。</t>
  </si>
  <si>
    <t>A891</t>
  </si>
  <si>
    <t>A：双点后,右滑条拖住,爆左第二组滑点。
E：A段结束,长滑点。</t>
  </si>
  <si>
    <t>A：双点后,左滑条拖住,爆右第二组滑点。
E：长滑点中。</t>
  </si>
  <si>
    <t>A：二次副歌,左滑条后,爆第一次双点。
E：左直条后,右直条中。</t>
  </si>
  <si>
    <t>B465</t>
  </si>
  <si>
    <t>B：B开,爆左滑条。
E：右长滑条后,左二连点。</t>
  </si>
  <si>
    <t>B957</t>
  </si>
  <si>
    <t>B：三压后,过空气,爆左&amp;中&amp;右三条。
E：右滑点中。(非满分)</t>
  </si>
  <si>
    <t>B1254</t>
  </si>
  <si>
    <t>B：高潮,两次直条后,爆右长滑点尾&amp;左单点。
E：左直条尾&amp;右单点。</t>
  </si>
  <si>
    <t>B：933右滑条后,爆左单点(纵连)。
E：左滑点后,散点倒数第二个(左)</t>
  </si>
  <si>
    <t>B1566</t>
  </si>
  <si>
    <t>B：1561右滑条后,爆左单点。
E：两组二连点后,左单点。47.5</t>
  </si>
  <si>
    <t>B：933右滑条后,爆左单点(纵连)。
E：左滑点后,散点倒数第二个(左)。(备注)</t>
  </si>
  <si>
    <t>B1481</t>
  </si>
  <si>
    <t>B：1459右直条按住,过二连点后,爆左连点。
E：一堆单点后,右直条头。(接近双爆)</t>
  </si>
  <si>
    <t>B1568</t>
  </si>
  <si>
    <t>B：1562左滑点后,过两个单点,爆左单点&amp;右滑点。
E：一堆单点后,左滑条头。(接近双爆)</t>
  </si>
  <si>
    <t>B：1562左滑点后,过两个单点,爆左单点&amp;右滑点。
E：一堆单点后,左滑条头。</t>
  </si>
  <si>
    <t>Maps</t>
  </si>
  <si>
    <t>A：右下短滑点后，爆右下单点
E：右第二个短滑点中.</t>
  </si>
  <si>
    <t>B：左短滑条后，爆右下短滑点.
E：歌曲结束.</t>
  </si>
  <si>
    <t>A：右下短滑点后，爆右下单点.
E：右第二个短滑点中.</t>
  </si>
  <si>
    <t>A203</t>
  </si>
  <si>
    <t>A：左短滑点后，爆右中单点.
E：两组双点第二对.</t>
  </si>
  <si>
    <t>B：左短滑点后，爆右中单点.
E：两组双点，第一组.</t>
  </si>
  <si>
    <t>B：左下单点后,爆双点。
E：右上单点。</t>
  </si>
  <si>
    <t>B：左下单点后,爆双点。
E：左下单点。</t>
  </si>
  <si>
    <t>A306</t>
  </si>
  <si>
    <t>A：三个滑点后,爆左单点。
E：左滑条后,右手第二个单点。(备注)</t>
  </si>
  <si>
    <t>B770</t>
  </si>
  <si>
    <t>B：三个滑点后,爆右单点。
E：右滑条后,左手第二个单点。(备注)</t>
  </si>
  <si>
    <t>A518</t>
  </si>
  <si>
    <t>A：左单点后,516左直条按住,爆右单点。(存)
E：A段结束,右单点。</t>
  </si>
  <si>
    <t>B728</t>
  </si>
  <si>
    <t>B：左手两个单点接723右直条后,爆左单点
E：左单点后,左滑点。</t>
  </si>
  <si>
    <t>A：空气后,194右滑条按住,爆条尾&amp;左单点。
E：右单点后,右滑点中(7/9)。(双排一样)</t>
  </si>
  <si>
    <t>A711</t>
  </si>
  <si>
    <t>A：第三个滑条(右)拖住,爆条尾&amp;左单点。(存)(假)
E：A段结束,左二连点后,双点。(偷)</t>
  </si>
  <si>
    <t>B1425</t>
  </si>
  <si>
    <t>B：高潮第三个滑条(左)拖住,爆滑条尾&amp;右单点。(假)
E：连续三组双点。</t>
  </si>
  <si>
    <t>B1429</t>
  </si>
  <si>
    <t>B：高潮,三滑条后,右直条按住,爆左单点。
E：右直条&amp;左四连点后,双点。(非满分)</t>
  </si>
  <si>
    <t>Numb</t>
  </si>
  <si>
    <t>A：右上短滑点后，爆双点.
E：双点.</t>
  </si>
  <si>
    <t>B：双点后，左滑条拖住，爆滑条尾&amp;右下单点.
E：右下单点.</t>
  </si>
  <si>
    <t>你的声音不会消失</t>
  </si>
  <si>
    <t>B：左下短滑点后，爆右下短滑点.
E：右上单点.</t>
  </si>
  <si>
    <t>B：右上短直条后，爆左下短滑条中间.
E：B段结束.</t>
  </si>
  <si>
    <t>你的微笑</t>
  </si>
  <si>
    <t>A257</t>
  </si>
  <si>
    <t>A：右长滑条后，爆左上长滑点.
E：右下单点.</t>
  </si>
  <si>
    <t>B：右长滑条后，爆第三个单点(左).
E：双点.</t>
  </si>
  <si>
    <t>A：主歌部分,右滑条&amp;左单点后,爆左三连点。
E：左直条后,左二连点。</t>
  </si>
  <si>
    <t>B：右单点接925右滑条后,爆第二对双打。(极)
E：右长滑点中(23/24)。</t>
  </si>
  <si>
    <t>B：右单点接925右滑条后,爆第二对双打。(极)
E：右长滑点中(23/24)</t>
  </si>
  <si>
    <t>A：234开始第四组双点
E：双点</t>
  </si>
  <si>
    <t>B：双点
E：双点</t>
  </si>
  <si>
    <t>B596</t>
  </si>
  <si>
    <t>B：右长滑条后,爆左下单点
E：二连点后,第一组双点。</t>
  </si>
  <si>
    <t>B870</t>
  </si>
  <si>
    <t>B：左单点后,爆右上单点。
E：左长滑点后,右上单点。</t>
  </si>
  <si>
    <t>B478</t>
  </si>
  <si>
    <t>B：右手单点
E：右手滑条</t>
  </si>
  <si>
    <t>B：右手二连点接直条
E：左手单点</t>
  </si>
  <si>
    <t>A：左手单点
E：左手滑点</t>
  </si>
  <si>
    <t>B：右手单点
E：右手滑点</t>
  </si>
  <si>
    <t>Poker Face</t>
  </si>
  <si>
    <t>A：右中单点后，爆左下二连点.
E：右中单点.</t>
  </si>
  <si>
    <t>B501</t>
  </si>
  <si>
    <t>B：右下单点后，爆双滑条.
E：双点.</t>
  </si>
  <si>
    <t>A80</t>
  </si>
  <si>
    <t>A：主歌,右-左-右交互单点后,爆连续三组双点。
E：连续三组单点&amp;滑点尾后,第四个右滑点尾。</t>
  </si>
  <si>
    <t>B826</t>
  </si>
  <si>
    <t>B：三次“什么都喜欢什么都呸”后,爆第三个单点:右
E：右开长滑点尾&amp;右单点。</t>
  </si>
  <si>
    <t>A173</t>
  </si>
  <si>
    <t>A：左下单点后，爆左连点.
E：右上单点.</t>
  </si>
  <si>
    <t>B：左下单点后，爆右上单点.
E：双点.</t>
  </si>
  <si>
    <t>A：左下单点后，爆左二连点.
E：右上单点.</t>
  </si>
  <si>
    <t>B：右单点后,爆左下&amp;右下双点。
E：右上单点。</t>
  </si>
  <si>
    <t>B：右长滑点后,左直条按住,爆右第一个点。
E：双滑点尾。</t>
  </si>
  <si>
    <t>B891</t>
  </si>
  <si>
    <t>B：导歌最后,左右各一次滑点后,爆双点。
E：右滑条中。</t>
  </si>
  <si>
    <t>B1030</t>
  </si>
  <si>
    <t>B：一爆后双直条,让过一个单点,爆左下单点。
E：右滑点后,左单点。(接近双爆)</t>
  </si>
  <si>
    <t>A491</t>
  </si>
  <si>
    <t>A：点接484右直条后,过两个单点,爆左单点。
E：右直条尾&amp;左滑点中(3/4)。(双排一样)</t>
  </si>
  <si>
    <t>B：点接1052左直条后,过两个单点。爆右单点。
E：左直条尾&amp;右滑点中(3/4)。(双排一样})</t>
  </si>
  <si>
    <t>Rage Your Dream</t>
  </si>
  <si>
    <t>A51</t>
  </si>
  <si>
    <t>A：左上单点后，爆右上二连点第二个
E：左下二连点.</t>
  </si>
  <si>
    <t>B652</t>
  </si>
  <si>
    <t>B：右下短滑点后，爆左下短滑条.
E：双点.</t>
  </si>
  <si>
    <t>B：右下短滑点后，爆左下短滑条.
E：双点</t>
  </si>
  <si>
    <t>B：双直条后,爆第四组双点。
E：双直条后,第二组双点。</t>
  </si>
  <si>
    <t>B560</t>
  </si>
  <si>
    <t>B：542双直条后,爆第五组双点。(接近双爆)
E：吃完多组双点。(备注)</t>
  </si>
  <si>
    <t>A：主歌部分,右二连点后,爆左二连点第二个。
E：右短滑点后,第二组双点。</t>
  </si>
  <si>
    <t>A163</t>
  </si>
  <si>
    <t>A：空气后,左二连点接滑条,滑条拖1cb爆。
E：中间滑点。(备注)</t>
  </si>
  <si>
    <t>A585</t>
  </si>
  <si>
    <t>A：581直条按住爆右单点
E：双点</t>
  </si>
  <si>
    <t>B1289</t>
  </si>
  <si>
    <t>B：1285直条按住爆左单点
E：双点</t>
  </si>
  <si>
    <t>B1288</t>
  </si>
  <si>
    <t>A：左在两个滑点后，爆第四个单点(右)
E：两组二连点后，左滑点中(3/5).</t>
  </si>
  <si>
    <t>B283</t>
  </si>
  <si>
    <t>B：右左两个滑点后，爆第四个单点(左).
E：两组二连点后，右滑点中(3/5).</t>
  </si>
  <si>
    <t>B：右左两个滑点后，爆第四个单点(左).
E：两组二连点后，右滑点中(3/5)</t>
  </si>
  <si>
    <t>A：空气后，过五个单点，爆双滑点.(存)
E：A段结束，双滑条尾.(备注)</t>
  </si>
  <si>
    <t>B：610右滑条后，爆左滑点.
E：右长直条+点后，右滑点中(4/5).</t>
  </si>
  <si>
    <t>B：610右滑条后，爆第二个右滑点.
E：734右直条中&amp;左手第二个单点.</t>
  </si>
  <si>
    <t>A：372右直条按住1cb（存）
E：右手二连点</t>
  </si>
  <si>
    <t>B：544拐条后爆左手二连点
E：右手滑点</t>
  </si>
  <si>
    <t>B611</t>
  </si>
  <si>
    <t>A： 325右滑条后，过左滑点，副歌起，爆右单点。(假)
E： 379右直条后，第二个左滑点。(备注)</t>
  </si>
  <si>
    <t>B：右左两个滑点后，过小段空气，爆右二连点。
E： 597左直条后，右滑点。</t>
  </si>
  <si>
    <t>B：右左两个滑点后，过小段空气，爆右二连点。
E： 597左直条后， 右滑点。</t>
  </si>
  <si>
    <t>A：左下短滑点接三个单点后,爆右短直条。
E：左下单点。</t>
  </si>
  <si>
    <t>B597</t>
  </si>
  <si>
    <t>B：左短直条后,爆右下单点。(极)
E：右滑点。</t>
  </si>
  <si>
    <t>A：左手单点
E：左手滑条+右手单点</t>
  </si>
  <si>
    <t>B1270</t>
  </si>
  <si>
    <t>B：1266左滑条+右点按住3cb爆（右点之前）
E：双直条</t>
  </si>
  <si>
    <t>A261</t>
  </si>
  <si>
    <t>A： 249左滑条&amp;右直条按住12cb爆气(右单点落下前)。
E：右长滑点尾。(双排一样)</t>
  </si>
  <si>
    <t>B863</t>
  </si>
  <si>
    <t>B： 851右滑条&amp;左直条按住12cb爆气(左单点落下前)。
E：左长滑点尾。(双排一样)</t>
  </si>
  <si>
    <t>A318</t>
  </si>
  <si>
    <t>A：导歌最后,右直条按住,爆第一次左二连点。
E：左单点&amp;右滑条尾。(双排一样)</t>
  </si>
  <si>
    <t>B916</t>
  </si>
  <si>
    <t>B：导歌中间,让过中间两单点,爆第一组双点。
E：双点后,中间单点。(双排一样)(备注)</t>
  </si>
  <si>
    <t>A：导歌最后,右直条按住,爆第一次左二连点。
E：左单点&amp;右滑条尾。(双排一样))</t>
  </si>
  <si>
    <t>A：右滑点后,空气后,爆两边双点。
E：右滑条按住,左三连点第二个。</t>
  </si>
  <si>
    <t>B910</t>
  </si>
  <si>
    <t>B：导歌最后,左点&amp;右滑条后,爆双点。(假)
E：双滑条尾。</t>
  </si>
  <si>
    <t>A：导歌,爆第四次点+滑点:左单点&amp;右滑点。(假)
E：连续两组双点,第二组。</t>
  </si>
  <si>
    <t>B677</t>
  </si>
  <si>
    <t>B：主歌,双短滑点后,爆左三连点第二个
E：连续三组双点。(备注)</t>
  </si>
  <si>
    <t>B：主歌,双短滑点后,爆左三连点第二个。
E：连续三组双点。(备注)</t>
  </si>
  <si>
    <t>A610</t>
  </si>
  <si>
    <t>A：双点后,爆右滑条&amp;左单点。
E：左直条中&amp;第二个右滑点中(7/8)。(备注)</t>
  </si>
  <si>
    <t>B：1192右长滑条+点后,爆双点。
E：右点+左滑点后,双点。</t>
  </si>
  <si>
    <t>A：549左长滑条+点后,爆双点。
E：左点+右滑点后,双点。</t>
  </si>
  <si>
    <t>A779</t>
  </si>
  <si>
    <t>A：766右长滑条后,爆连续双点。(存)
E：A段结束,双滑条尾。(备注)</t>
  </si>
  <si>
    <t>B：B开,过右左两个单点后,爆右二连点。
E：右二连点后,左滑点中(4/5)。</t>
  </si>
  <si>
    <t>B850</t>
  </si>
  <si>
    <t>B：845右直条后,过空气,爆左二连点。
E：散点后,右二连点的第一个单点。</t>
  </si>
  <si>
    <t>A277</t>
  </si>
  <si>
    <t>A：269左滑条后让右手单点爆左手单点（存）
E：右手二连点</t>
  </si>
  <si>
    <t>B485</t>
  </si>
  <si>
    <t>B：481直条按住爆结尾右单点
E：右单点</t>
  </si>
  <si>
    <t>A：145右直条按住1cb
E：左滑点</t>
  </si>
  <si>
    <t>A： 230右长滑条后，爆左单点.
E：左滑点后，右单点.(双排一样)</t>
  </si>
  <si>
    <t>B544</t>
  </si>
  <si>
    <t>B： 527左长滑条后，爆右单点.
E：右滑点后，左单点.(双排一样)</t>
  </si>
  <si>
    <t>A： 230右长滑条后，爆左单点.
E：左滑点后，右单点.(双排-样)</t>
  </si>
  <si>
    <t>B604</t>
  </si>
  <si>
    <t>B：左上短直条后，爆第一组双点.
E：左长滑点后，右下三连点第一个.</t>
  </si>
  <si>
    <t>B：右下单点后，爆双点.
E：双点.</t>
  </si>
  <si>
    <t>A：左下单点后，爆双点.
E：左下短直条尾&amp;右下单点.</t>
  </si>
  <si>
    <t>B：右下单点后，爆双点.
E：右下单点.</t>
  </si>
  <si>
    <t>B：右下单点后，爆双点.
E：右下单点</t>
  </si>
  <si>
    <t>A238</t>
  </si>
  <si>
    <t>A：左下短直条后，爆双点.
E：左下短直条中.</t>
  </si>
  <si>
    <t>B：左上短滑点后，爆双点.
E：左下单点.</t>
  </si>
  <si>
    <t>A：左下短直条后，爆双点
E：左下短直条中.</t>
  </si>
  <si>
    <t>A334</t>
  </si>
  <si>
    <t>A：左滑条拖住,爆滑条尾&amp;右下单点。
E：连续三组双点。</t>
  </si>
  <si>
    <t>B805</t>
  </si>
  <si>
    <t>B：双直条后,过两次双点,过三个单点,爆双点。
E：两次短滑点后,右上单点。</t>
  </si>
  <si>
    <t>A：左单点后，爆双直条。
E：右滑条尾&amp;左直条尾。</t>
  </si>
  <si>
    <t>A： 500右滑条尾&amp;左单点后，过右单点，爆左滑条。
E： A段结束，双直条尾。(备注)</t>
  </si>
  <si>
    <t>A743</t>
  </si>
  <si>
    <t>A：两组二连点后,过四个单点,爆左滑条&amp;右单点。
E：右直条+单点后,左滑点。</t>
  </si>
  <si>
    <t>B1532</t>
  </si>
  <si>
    <t>B：右滑点后,1528左直条按住,爆条尾&amp;右单点。
E：左长滑条+单点后,右二连点的第一个单点。</t>
  </si>
  <si>
    <t>A：双点后，470右滑条按住，爆第二个左单点。
E：双点。(备注)</t>
  </si>
  <si>
    <t>B1334</t>
  </si>
  <si>
    <t>B：双点后，左单点&amp;1329右滑条按住，过4cb爆气。
E：双点。</t>
  </si>
  <si>
    <t>Victory(困难版)</t>
  </si>
  <si>
    <t>B856</t>
  </si>
  <si>
    <t>B：B开，爆第二次双点。
E：右开全屏长滑点后,左直条头。</t>
  </si>
  <si>
    <t>B1401</t>
  </si>
  <si>
    <t>B：歌曲最后,左直条+滑点后,爆双点。
E：歌曲结束,左右交互连点。(备注)</t>
  </si>
  <si>
    <t>A： 166右滑条按住， 过5cb爆气.
E： 223右滑条后，过左单点，左滑点.(备注)</t>
  </si>
  <si>
    <t>B： 567右滑条后，爆第二个单点(左).
E：左单点后，左滑点.</t>
  </si>
  <si>
    <t>A： 154左滑条后，爆右单点.
E：两个右滑点后，左手第二个单点.</t>
  </si>
  <si>
    <t>A74</t>
  </si>
  <si>
    <t>A：右上二连点后，爆左上短滑点.
E：右下单点.</t>
  </si>
  <si>
    <t>B：右长滑条接左单点后，爆中间二连点.
E：左上单点.</t>
  </si>
  <si>
    <t>A：右短滑点后，爆双点
E：右上短滑点头.</t>
  </si>
  <si>
    <t>B：右短滑点后，爆左上短滑点.
E：双点.</t>
  </si>
  <si>
    <t>A：右短滑点后，爆双点.
E：右上短滑点头.</t>
  </si>
  <si>
    <t>A260</t>
  </si>
  <si>
    <t>A：256右直条按住，爆直条尾&amp;左滑点.(存)
E：A段结束，左滑点后，双点(偷)</t>
  </si>
  <si>
    <t>B：左单点后，603右直条按住，过1cb爆.
E：歌曲结束，双直条尾.</t>
  </si>
  <si>
    <t>B629</t>
  </si>
  <si>
    <t>B：左单点后，爆右滑条.
E：歌曲结束.双直条尾</t>
  </si>
  <si>
    <t>B：448右滑条后，爆左单点.
E：右手二连点.</t>
  </si>
  <si>
    <t>B644</t>
  </si>
  <si>
    <t>B：左滑条后，641右直条按住，过3cb爆.
E：歌曲结束，双点.(偷)</t>
  </si>
  <si>
    <t>A：右短直条后，爆左下单点.
E：右二连点.</t>
  </si>
  <si>
    <t>B：左下单点后，爆右上单点.
E：左下单点.</t>
  </si>
  <si>
    <t>A：左下单点后，爆右上二连点
E：右上单点.</t>
  </si>
  <si>
    <t>B609</t>
  </si>
  <si>
    <t>B：右下单点后，爆左上二连点.
E：左上单点.</t>
  </si>
  <si>
    <t>A220</t>
  </si>
  <si>
    <t>A：右短直条后,爆第四个单点:右下单点。
E：左上单点。</t>
  </si>
  <si>
    <t>B747</t>
  </si>
  <si>
    <t>B：左短直条后,爆第四个单点:左下单点。
E：右上单点。</t>
  </si>
  <si>
    <t>B695</t>
  </si>
  <si>
    <t>B：683左滑条按住,过12cb爆气。
E：右直条尾&amp;左单点。</t>
  </si>
  <si>
    <t>B851</t>
  </si>
  <si>
    <t>B：左单点后,849右滑条按住,爆第一个左单点。
E：底部单点后,左直条头&amp;右单点。(备注)</t>
  </si>
  <si>
    <t>A561</t>
  </si>
  <si>
    <t>A： 548左滑条尾&amp;右单点后，爆右单点。「0
E：左滑点后，右二连点。</t>
  </si>
  <si>
    <t>B1242</t>
  </si>
  <si>
    <t>B： 1229右滑条+点后， 过左单点，爆右直条&amp;左单点。
E：歌曲结束，左直条尾&amp;右单点。(偷)</t>
  </si>
  <si>
    <t>A：空气后，过五个单点，爆右直条。
E：左滑点中(3/4) 。</t>
  </si>
  <si>
    <t>B：左单点后，过空气,爆左直条&amp;右单点。
E：右直条后，左单点。(备注)</t>
  </si>
  <si>
    <t>A413</t>
  </si>
  <si>
    <t>A：空气后，408右直条按住，爆第二个左单点。
E：左直条中&amp;右手第一个单点。(双排- 样)</t>
  </si>
  <si>
    <t>B1026</t>
  </si>
  <si>
    <t>B：空气后，1021左直条按住，爆第二个右单点。
E：右直条中&amp;左手第一个单点。(双排一样)</t>
  </si>
  <si>
    <t>A：空气后，408右直 条按住，爆第二个左单点。
E：左直条中&amp;右手第一个单点。(双排一样)</t>
  </si>
  <si>
    <t>B：左几个单点后,左滑条后,爆双点。
E：右滑点后,左交互单点第四个。</t>
  </si>
  <si>
    <t>B：空气后,让过双点,爆左滑点。(接近双爆)
E：歌曲最后,双滑条中。(最后8cb吃不到)</t>
  </si>
  <si>
    <t>A：505右直条按住爆左单点（存）
E：右单点</t>
  </si>
  <si>
    <t>B586</t>
  </si>
  <si>
    <t>B：右手滑点
E：右手单点</t>
  </si>
  <si>
    <t>B：629cb左手滑条按住5cb
E：左滑条</t>
  </si>
  <si>
    <t>B：桥段,左右各一次二连点后,爆连续双点第一组。
E：左直条后,第二次双点。</t>
  </si>
  <si>
    <t>B：桥段后半,左下开四连点后,爆右滑点。
E：左条按住,右五连点。</t>
  </si>
  <si>
    <t>B：桥段,左右各一次二连点后。爆连续双点第一组。
E：左直条后,第二次双点。</t>
  </si>
  <si>
    <t>Whistle（困难版）</t>
  </si>
  <si>
    <t>A：口哨后,第二句,爆左单点。(备注)
E：两次短滑点后,左二连点。</t>
  </si>
  <si>
    <t>A559</t>
  </si>
  <si>
    <t>A：539左滑条拖住,过右滑条,结束时爆右二连点。
E：几个单点最后一个:左单点。</t>
  </si>
  <si>
    <t>A379</t>
  </si>
  <si>
    <t>A：“谁也不能够取代”右滑条拖住,爆第二个左单点。
E：左滑点后,右二连点第一个。(备注)</t>
  </si>
  <si>
    <t>B743</t>
  </si>
  <si>
    <t>B：主歌,右点接滑条拖住,爆左五连点第一个。
E：右直条结束&amp;左单点。</t>
  </si>
  <si>
    <t>B：右长滑条后，爆左下单点.
E：右上单点.</t>
  </si>
  <si>
    <t>B632</t>
  </si>
  <si>
    <t>B：右二连点后，爆左二连点第二个.(接近双爆)
E：左长滑点后，右下单点.</t>
  </si>
  <si>
    <t>B：右二连点后，爆左二连点第二个点.
E：左长滑点后，右下单点.</t>
  </si>
  <si>
    <t>A292</t>
  </si>
  <si>
    <t>A：左单点后，爆右长滑条.
E：双滑条尾.</t>
  </si>
  <si>
    <t>B667</t>
  </si>
  <si>
    <t>B：右到左三个单点过后，爆双点.
E：双滑条尾.</t>
  </si>
  <si>
    <t>A：右单点后，爆左短滑条.
E：左长滑条尾&amp;右上单点.</t>
  </si>
  <si>
    <t>B：左下短直条后，爆左下单点.
E：右中单点.</t>
  </si>
  <si>
    <t>炫舞</t>
  </si>
  <si>
    <t>A：左右三连点后，爆左短直条.
E：右长直条头&amp;左单点.</t>
  </si>
  <si>
    <t>B651</t>
  </si>
  <si>
    <t>B：右下单点后，左滑条拖住，过2cb爆气.
E：歌曲结束，双点.</t>
  </si>
  <si>
    <t>B：B开，385左滑条按住过6cb爆气.
E：435右滑条后，左单点.</t>
  </si>
  <si>
    <t>B：551右滑条后，过空气，爆左滑点.
E：右单点后，右滑条头.</t>
  </si>
  <si>
    <t>B：B开，385左滑条按住，过6cb爆气.
E：435右滑条后，左单点.</t>
  </si>
  <si>
    <t>B：547左滑条后，过两个点的，爆右单点.
E：左滑点后，右单点.</t>
  </si>
  <si>
    <t>B：634右滑条后，过左右两个单点，爆左二连点.
E：左滑点后，右单点.</t>
  </si>
  <si>
    <t>B589</t>
  </si>
  <si>
    <t>B：左直条后,让过四散点,爆右上起连点第一个。
E：左滑条中。</t>
  </si>
  <si>
    <t>B674</t>
  </si>
  <si>
    <t>B：副歌中,左三个单点后,爆双点。(接近双爆)
E：中间连续几个散点吃完。</t>
  </si>
  <si>
    <t>B：副歌中,左三个单点后,爆双点。
E：中间连续几个散点吃完。</t>
  </si>
  <si>
    <t>A460</t>
  </si>
  <si>
    <t>A：454右直条+点后,爆右滑条&amp;左单点。(存)
E：A段结束,双点。(偷)(备注)</t>
  </si>
  <si>
    <t>B：两个短滑点后,爆右单点。
E：散点后,左直条头&amp;右单点。</t>
  </si>
  <si>
    <t>B：过两组左直条+右二连点,爆右滑条。
E：左直条中。</t>
  </si>
  <si>
    <t>A：299右手拐条按住5cb（存）
E：左手单点</t>
  </si>
  <si>
    <t>B576</t>
  </si>
  <si>
    <t>B：左手二连点
E：结尾双点</t>
  </si>
  <si>
    <t>B：右手滑点
E：左滑条</t>
  </si>
  <si>
    <t>A： 271右直条按住,爆左长滑点.(存)
E： A段结束，左滑点尾&amp;右直条尾.(备注)</t>
  </si>
  <si>
    <t>B：右二连点接368右直条后，过左滑点，爆右单点.
E：左单点后，左滑点.(偷)</t>
  </si>
  <si>
    <t>A239</t>
  </si>
  <si>
    <t>A：左滑条拖住，爆右第二个单点.
E：左长滑条尾&amp;右上单点.</t>
  </si>
  <si>
    <t>A115</t>
  </si>
  <si>
    <t>A：左上短滑点后,爆第三个单点:左下单点。
E：右短滑条尾&amp;左上单点。</t>
  </si>
  <si>
    <t>B：左下二连点后,爆右下单点。
E：双滑条尾。</t>
  </si>
  <si>
    <t>A298</t>
  </si>
  <si>
    <t>A：左右滑点后,过左单点,爆右滑点。(存)
E：A段结束,第二对双点。(偷)</t>
  </si>
  <si>
    <t>B323</t>
  </si>
  <si>
    <t>B：B开,过左长滑条后,爆双点。
E：417左直条后,两组双点。</t>
  </si>
  <si>
    <t>B：B开,过左长滑条后,爆双点。
E：双点后,过空气,左滑点中(3/4)。</t>
  </si>
  <si>
    <t>B630</t>
  </si>
  <si>
    <t>B：右短滑条后,爆左长直条。
E：右直条后,左三连点。</t>
  </si>
  <si>
    <t>B840</t>
  </si>
  <si>
    <t>B：右长滑条后。过空气后,爆双点。
E：双长滑点尾。</t>
  </si>
  <si>
    <t>B：右长滑条后,过空气后,爆双点。
E：双长滑点尾。</t>
  </si>
  <si>
    <t>A：空气后,过右滑点,爆左单点。
E：左单点后,左滑点。(双排一样)</t>
  </si>
  <si>
    <t>B：空气后,过左滑点,爆右单点。
E：右单点后,右滑点。(双排一样)</t>
  </si>
  <si>
    <t>A：空气后,过右滑点，爆左单点。
E：左单点后,左滑点。(双排一样)</t>
  </si>
  <si>
    <t>B：B开两次滑条后,爆右长滑点
E：双滑条后,第一次双点。</t>
  </si>
  <si>
    <t>B：600左大滑点后,爆右第五个单点。(备注)
E：第二次左滑点尾&amp;右单点。</t>
  </si>
  <si>
    <t>B：B开两次滑条后,爆右长滑点。(备注)
E：双滑条后,第一次双点。</t>
  </si>
  <si>
    <t xml:space="preserve">A： 121左二连点后， 过右单点，爆左单点.
E：散点结束，右二连点.（双排一样）
</t>
  </si>
  <si>
    <t>B： 503右二连点后， 过左单点，爆右单点.
E：散点结束，右二连点.（双排一样）</t>
  </si>
  <si>
    <t>A： 121左二连点后，过右单点，爆左单点.
E：散点结束，右二连点.（双排一样）</t>
  </si>
  <si>
    <t>B515</t>
  </si>
  <si>
    <t>B：左直条按住，爆直条尾&amp;右单点.
E：右二连点第一个.</t>
  </si>
  <si>
    <t>B：左滑条拖住，爆右第二个单点.
E：左长滑条尾&amp;右上单点.</t>
  </si>
  <si>
    <t>直到世界终结（困难版）</t>
  </si>
  <si>
    <t>B1203</t>
  </si>
  <si>
    <t>B：副歌最后,空气后,让过右直条,爆左短滑点。
E：左右各次滑点后,第四个单点:右。</t>
  </si>
  <si>
    <t>B1306</t>
  </si>
  <si>
    <t>B：一爆结束后左直条按住,爆条尾&amp;中单点。
E：双滑点后,中间单点。(接近双爆)(备注)</t>
  </si>
  <si>
    <t>B：四个单点后,左直条按住,结束时爆&amp;中间单点。
E：双滑点后,中间单点。(备注)</t>
  </si>
  <si>
    <t>A：右上方1单点（存）
E：结尾三联点</t>
  </si>
  <si>
    <t>B225</t>
  </si>
  <si>
    <t>B：绿条后下方7单点
E：右下5单点</t>
  </si>
  <si>
    <t>B246</t>
  </si>
  <si>
    <t>B：右6开始四联点
E：绿条</t>
  </si>
  <si>
    <t>じゃあね</t>
  </si>
  <si>
    <t>A：左手4号单点
E：左手12单点</t>
  </si>
  <si>
    <t>B254</t>
  </si>
  <si>
    <t>B：左手1单点
E：左手9单点</t>
  </si>
  <si>
    <t>B197</t>
  </si>
  <si>
    <t>B：左手9单点接蓝条
E：左手单点</t>
  </si>
  <si>
    <t>B：左手1单点
E：左手绿条</t>
  </si>
  <si>
    <t>B：右上2号球
E：左上12号绿条开头</t>
  </si>
  <si>
    <t>B：左上8号球
E：右下14号球</t>
  </si>
  <si>
    <t>123我爱你（困难版）</t>
  </si>
  <si>
    <t>B：副歌开始，①-④交叉连点后，爆右下⑤右滑蓝条。
E：⑧蓝条尾。（双排一样）</t>
  </si>
  <si>
    <t>B537</t>
  </si>
  <si>
    <t>B：副歌开始，①-④交叉连点后，爆左下⑤左滑蓝条。
E：⑧蓝条尾。（双排一样）</t>
  </si>
  <si>
    <t>B271</t>
  </si>
  <si>
    <t>B：双击③过后左侧①单点</t>
  </si>
  <si>
    <t>B：右侧④单点</t>
  </si>
  <si>
    <t>A170</t>
  </si>
  <si>
    <t>A：右1号球
E：右上2号球</t>
  </si>
  <si>
    <t>B：左1号球
E：左上2号球</t>
  </si>
  <si>
    <t>A：右下9号球
E：左上8号球</t>
  </si>
  <si>
    <t>B：左下9号球
E：右上8号球</t>
  </si>
  <si>
    <t>A：左手2号蓝条
E：右下3号球</t>
  </si>
  <si>
    <t>B：左手2号蓝条
E：右下3号球</t>
  </si>
  <si>
    <t>熬夜上瘾</t>
  </si>
  <si>
    <t>B：左2单点
E：左3单点</t>
  </si>
  <si>
    <t>B267</t>
  </si>
  <si>
    <t>B：右2单点
E：左4单点</t>
  </si>
  <si>
    <t>Always Online</t>
  </si>
  <si>
    <t>A43</t>
  </si>
  <si>
    <t>A：右侧⑥⑦⑧⑨散点</t>
  </si>
  <si>
    <t>A：中右下⑥单点后，爆中左下⑦⑧连点。（假）
E：⑪蓝条尾&amp;右①单点</t>
  </si>
  <si>
    <t>B238</t>
  </si>
  <si>
    <t>B：中左上⑦⑧连点后，爆中右下⑨短绿条。（极）
E：中左下⑮单点。（偷）</t>
  </si>
  <si>
    <t>A：右下⑨⑩⑪连点后，爆中左下起①m型蓝条
E：左下①长绿按住后的右上⑥单点</t>
  </si>
  <si>
    <t>B：B开过12个点，爆左下⑤单点
E：左上①单点</t>
  </si>
  <si>
    <t>B195</t>
  </si>
  <si>
    <t>B：高潮1左侧②单点</t>
  </si>
  <si>
    <t>B：高潮2左侧③蓝爆</t>
  </si>
  <si>
    <t>A：双击⑦</t>
  </si>
  <si>
    <t>B：双击⑦</t>
  </si>
  <si>
    <t>A148</t>
  </si>
  <si>
    <t>A：左⑧蓝条
E：左手⑭折线蓝条尾（双排一样）</t>
  </si>
  <si>
    <t>B：左⑧蓝条
E：左手⑭折线蓝条尾（双排一样）</t>
  </si>
  <si>
    <t>B：右上⑩短绿后过①-④散点，爆右上⑤单点
E：右④蓝条尾&amp;左⑤单点</t>
  </si>
  <si>
    <t>B：右侧①②单点后，爆中右上③下滑蓝条
E：右到左连点的⑨号点</t>
  </si>
  <si>
    <t>A：右侧③④单点</t>
  </si>
  <si>
    <t>B：双击①过后右侧②竖蓝</t>
  </si>
  <si>
    <t>不醉不会</t>
  </si>
  <si>
    <t>A152</t>
  </si>
  <si>
    <t>A：高潮"只要我以为"左侧②蓝</t>
  </si>
  <si>
    <t>B：中间⑩绿过后右侧⑫单点</t>
  </si>
  <si>
    <t>A：左侧①横蓝</t>
  </si>
  <si>
    <t>B：左侧⑦蓝</t>
  </si>
  <si>
    <t>A142存</t>
  </si>
  <si>
    <t>A：左侧②单点</t>
  </si>
  <si>
    <t>B274</t>
  </si>
  <si>
    <t>B：右侧①蓝</t>
  </si>
  <si>
    <t>A：右⑦花型绿过后左侧①单点</t>
  </si>
  <si>
    <t>B213</t>
  </si>
  <si>
    <t>B：开头见右侧③④⑤三连点</t>
  </si>
  <si>
    <t>A108</t>
  </si>
  <si>
    <t>A：右到左③-⑥散点后，爆左侧⑦-⑨点点绿。（假）
E：左下⑩蓝条尾。（双排一样）</t>
  </si>
  <si>
    <t>B201</t>
  </si>
  <si>
    <t>B：左到右③-⑥散点后，爆左侧⑦-⑨点点绿。（假）
E：右上⑩蓝条尾。（双排一样）</t>
  </si>
  <si>
    <t>A103</t>
  </si>
  <si>
    <t>A："期待你会给我承诺"左侧①②③三连点</t>
  </si>
  <si>
    <t>A：左侧⑦⑧⑨三连点</t>
  </si>
  <si>
    <t>B370</t>
  </si>
  <si>
    <t>B：右侧①②③三连点</t>
  </si>
  <si>
    <t>A：双③蓝</t>
  </si>
  <si>
    <t>B247</t>
  </si>
  <si>
    <t>B：左侧④单点</t>
  </si>
  <si>
    <t>B："为什么 对你说"右侧 ⑩⑪⑫三连点</t>
  </si>
  <si>
    <t>B396</t>
  </si>
  <si>
    <t>B：结尾音乐部分第2次中下方③单点</t>
  </si>
  <si>
    <t>A144</t>
  </si>
  <si>
    <t>A：高潮2双击①</t>
  </si>
  <si>
    <t>B220</t>
  </si>
  <si>
    <t>B：左侧第1个②横蓝</t>
  </si>
  <si>
    <t>高1前左侧④⑤散点爆</t>
  </si>
  <si>
    <t>B：高2左侧①②③④⑤散点</t>
  </si>
  <si>
    <t>B：高1前左侧④⑤散点爆</t>
  </si>
  <si>
    <t>A：高2右侧⑨⑩散点接横蓝</t>
  </si>
  <si>
    <t>B495</t>
  </si>
  <si>
    <t>B：左侧②单点</t>
  </si>
  <si>
    <t>A：左⑫绿过后左侧①单点</t>
  </si>
  <si>
    <t>B：左侧⑧单点</t>
  </si>
  <si>
    <t>B：高潮左⑬绿过后右侧②③④三连点</t>
  </si>
  <si>
    <t>A：右侧长弧度蓝条爆</t>
  </si>
  <si>
    <t>B：左侧第1个卷蓝爆</t>
  </si>
  <si>
    <t>A：空气后，左上③短绿后，爆中间右滑④弧形蓝条
E：左下③单点</t>
  </si>
  <si>
    <t>B：右上⑥-⑧连点后过①单点，爆左下②③连点
E：中⑤蓝条尾</t>
  </si>
  <si>
    <t>A：左下⑫⑬⑭连点爆第三个点：⑭号。
E：⑬-⑬双点。（备注）</t>
  </si>
  <si>
    <t>B：左下⑫⑬⑭连点爆第三个点：⑭号。
E：⑬-⑬双点。</t>
  </si>
  <si>
    <t>B：左侧⑧⑨⑩三连点</t>
  </si>
  <si>
    <t>B：高潮左侧①②③④散点</t>
  </si>
  <si>
    <t>A：中右下⑤⑥连点后，爆右下⑦单点
E：左手⑧长弧形蓝条尾</t>
  </si>
  <si>
    <t>B：中右下①②连点后，爆右下③单点
E：左手⑧长弧形蓝条尾</t>
  </si>
  <si>
    <t>A101</t>
  </si>
  <si>
    <t>A：左下⑩绿后过两个单点，爆右上③左滑蓝条
E：中右①②③连点（双排一样）</t>
  </si>
  <si>
    <t>B：右上②长绿后过两个单点，爆左下⑤右滑蓝条
E：中左⑦-⑨连点（双排一样）</t>
  </si>
  <si>
    <t>爆气（(非压爆带极限）</t>
  </si>
  <si>
    <t>A195</t>
  </si>
  <si>
    <t>A：右侧⑦横蓝</t>
  </si>
  <si>
    <t>B：开头双击①爆</t>
  </si>
  <si>
    <t>A263</t>
  </si>
  <si>
    <t>A：高潮⑨蓝条爆</t>
  </si>
  <si>
    <t>B：高潮左侧⑨蓝条</t>
  </si>
  <si>
    <t>丑八怪</t>
  </si>
  <si>
    <t>B231</t>
  </si>
  <si>
    <t>B：右侧①单点</t>
  </si>
  <si>
    <t>B278</t>
  </si>
  <si>
    <t>B：左侧①单点</t>
  </si>
  <si>
    <t>Checkmate</t>
  </si>
  <si>
    <t>B150</t>
  </si>
  <si>
    <t>B：右侧②单点</t>
  </si>
  <si>
    <t>B194</t>
  </si>
  <si>
    <t>B：左⑧绿过后见②单点</t>
  </si>
  <si>
    <t>A40</t>
  </si>
  <si>
    <t>A：左下⑤-⑦连点后，爆右下向上⑧-⑩点点蓝（或者一段结尾蓝条存气）
E：左上①-③连点</t>
  </si>
  <si>
    <t>B：B开，中左下①单点
E：左下⑦⑧⑨连点</t>
  </si>
  <si>
    <t>A69</t>
  </si>
  <si>
    <t>A185</t>
  </si>
  <si>
    <t>A：高潮双击①</t>
  </si>
  <si>
    <t>B244</t>
  </si>
  <si>
    <t>B：开头双击①</t>
  </si>
  <si>
    <t>A：右侧⑭单点</t>
  </si>
  <si>
    <t>A：高潮左侧⑤⑥⑦三连点接⑧蓝</t>
  </si>
  <si>
    <t>B454</t>
  </si>
  <si>
    <t>B：高潮右侧⑤⑥⑦三连点接⑧蓝</t>
  </si>
  <si>
    <t>A229</t>
  </si>
  <si>
    <t>带你去旅行</t>
  </si>
  <si>
    <t>A：右侧⑩单点</t>
  </si>
  <si>
    <t>B212</t>
  </si>
  <si>
    <t>B：右侧③单点</t>
  </si>
  <si>
    <t>A：高2右侧①②③三连点</t>
  </si>
  <si>
    <t>B：高2左侧①②③三连点</t>
  </si>
  <si>
    <t>DAY BY DAY</t>
  </si>
  <si>
    <t>A123</t>
  </si>
  <si>
    <t>A：高潮第1个横蓝</t>
  </si>
  <si>
    <t>B299</t>
  </si>
  <si>
    <t>B：高潮第1个横蓝</t>
  </si>
  <si>
    <t>A25</t>
  </si>
  <si>
    <t>A：中右下③长绿后过左手④单点，爆中左⑤蓝条
E：左下③单点</t>
  </si>
  <si>
    <t>B204</t>
  </si>
  <si>
    <t>B：左侧⑥横蓝</t>
  </si>
  <si>
    <t>B292</t>
  </si>
  <si>
    <t>B：高2左侧⑧横蓝</t>
  </si>
  <si>
    <t>B182</t>
  </si>
  <si>
    <t>B：右下⑤蓝条后过⑥单点爆左上⑦单点（假）
E：左上⑪⑫连点</t>
  </si>
  <si>
    <t>B：左上⑤⑥⑦连点后，爆左下⑧左滑蓝条（假）
E：右下②蓝条尾（非满分）</t>
  </si>
  <si>
    <t>A70</t>
  </si>
  <si>
    <t>A：开头不久右侧③④单点接⑤绿条</t>
  </si>
  <si>
    <t>B：开头右侧①蓝</t>
  </si>
  <si>
    <t>A："说唱部分"右侧⑯蓝</t>
  </si>
  <si>
    <t>B：右侧⑥⑦⑧⑨⑩散点</t>
  </si>
  <si>
    <t>A：⑮[β]型双蓝后过②双绿，爆③-⑥连续双点。
E：中间⑧蓝条前2cb。（双排一样）（备注）</t>
  </si>
  <si>
    <t>B：⑮[β]型双蓝后过②双绿，爆③-⑥连续双点。
E：中间⑧蓝条前2cb。（双排一样）（备注）</t>
  </si>
  <si>
    <t>A：⑮[β]型双蓝后过②双绿，爆③-⑥连续双点。
E：中间⑧蓝条前2cb。9双排一样）（备注）</t>
  </si>
  <si>
    <t>End of  Time</t>
  </si>
  <si>
    <t>B265</t>
  </si>
  <si>
    <t>B：右上⑧长绿条后过空气，爆左下起①蓝条。
E：右手⑧蓝条</t>
  </si>
  <si>
    <t>B：右下③长绿条后过空气，爆左下起④蓝条。
E：右下⑩蓝条3/7</t>
  </si>
  <si>
    <t>A：中左下⑨短绿后过①②散点，爆中上③单点
E：左下①②连点</t>
  </si>
  <si>
    <t>B400</t>
  </si>
  <si>
    <t>B：右下⑦短绿按住，爆左上⑧蓝条
E：中左上④单点</t>
  </si>
  <si>
    <t>A：右到左⑪-⑭散点后，爆中右下⑮单点。（极）
E：左上①单点。（偷）（备注）</t>
  </si>
  <si>
    <t>A：A94⑭蓝条后过11个单点，爆中左上⑫单点。
E：左上⑩蓝条尾。</t>
  </si>
  <si>
    <t>FIVE</t>
  </si>
  <si>
    <t>B294</t>
  </si>
  <si>
    <t>B：中右上⑥波浪长绿后，爆左下①单点。
E：中左上⑩短绿2/3</t>
  </si>
  <si>
    <t>B：中右下⑧⑨点绿后过空气，爆左上①单点。
E：右手⑥⑦连点</t>
  </si>
  <si>
    <t>B417</t>
  </si>
  <si>
    <t>B：⑫-⑰六个单点后，爆右下起①-⑤连点。
E：中左⑥蓝条尾。（备注）</t>
  </si>
  <si>
    <t>B：中左⑥蓝条后过四个点，爆右中上①开转圈连点。
E：右手⑭-⑱连点尾。（备注）</t>
  </si>
  <si>
    <t>B：中右⑯蓝条后过四个点，爆右上起①-⑤连点。
E：左下⑦单点。</t>
  </si>
  <si>
    <t>A189</t>
  </si>
  <si>
    <t>A：第2次右⑬绿过后左侧②③④三连点</t>
  </si>
  <si>
    <t>A："这个世界已变得无法想象"右⑫绿过后左侧①②③④⑤散</t>
  </si>
  <si>
    <t>B：中间①蓝条</t>
  </si>
  <si>
    <t>B457</t>
  </si>
  <si>
    <t>B：右侧②③单点接蓝条</t>
  </si>
  <si>
    <t>A：中间六个绿条后，爆第二根蓝条：左下⑪左滑蓝条。
E：⑥蓝条尾&amp;⑦蓝条头。（双排一样）（备注）</t>
  </si>
  <si>
    <t>B：中间六个绿条后，爆第二根蓝条：右下⑪右滑蓝条。
E：⑥蓝条尾&amp;⑦蓝条头。（双排一样）（备注）</t>
  </si>
  <si>
    <t>B373</t>
  </si>
  <si>
    <t>B：左手①-④连点后，爆右下至上⑤-⑧连点。
E：⑦蓝条尾&amp;⑧单点。（非满分）（备注）</t>
  </si>
  <si>
    <t>B：右⑨绿过后见右侧②单点</t>
  </si>
  <si>
    <t>B385</t>
  </si>
  <si>
    <t>B：右⑪绿过后见左侧①②③三连点</t>
  </si>
  <si>
    <t>A：高潮左侧⑨竖蓝</t>
  </si>
  <si>
    <t>B516</t>
  </si>
  <si>
    <t>B："说唱部分"左侧⑪竖蓝</t>
  </si>
  <si>
    <t>B337</t>
  </si>
  <si>
    <t>B234</t>
  </si>
  <si>
    <t>B：右⑬绿过后左侧①单点</t>
  </si>
  <si>
    <t>B：结尾"每一次"双击①</t>
  </si>
  <si>
    <t>A：高潮右侧⑤横蓝</t>
  </si>
  <si>
    <t>B：结尾高1右侧③蓝</t>
  </si>
  <si>
    <t>A：左下⑤短绿后过右手①-⑤散点，爆左下⑥单点
E：A点结束，左手⑥蓝条尾</t>
  </si>
  <si>
    <t>B：左下⑤短绿后右手①-⑤散点，爆左下⑥单点。
E：B短结束，左手⑥蓝条尾</t>
  </si>
  <si>
    <t>A：左上⑰长绿按住，爆结尾的右下⑱蓝条
E：左下⑩蓝条2/4（备注）</t>
  </si>
  <si>
    <t>B：中右上⑯⑰点绿后，爆左中两侧⑱-⑱双o蓝
E：中左下⑱蓝条2/3（备注）</t>
  </si>
  <si>
    <t>B：高潮左侧①②③三连点接右①绿</t>
  </si>
  <si>
    <t>B：左侧①绿</t>
  </si>
  <si>
    <t>A284</t>
  </si>
  <si>
    <t>B601</t>
  </si>
  <si>
    <t>B：0</t>
  </si>
  <si>
    <t>黑暗骑士</t>
  </si>
  <si>
    <t>A：高潮"有没有一种考验"左侧③单点</t>
  </si>
  <si>
    <t>B324</t>
  </si>
  <si>
    <t>B：高潮"有没有一种改变"右侧③单点</t>
  </si>
  <si>
    <t>Hola</t>
  </si>
  <si>
    <t>A106</t>
  </si>
  <si>
    <t>A：中间⑦单点</t>
  </si>
  <si>
    <t>B236</t>
  </si>
  <si>
    <t>B：右侧⑧蓝</t>
  </si>
  <si>
    <t>花香</t>
  </si>
  <si>
    <t>B：下方④-⑥点点绿后，爆右下⑦上滑蓝条
E：左到右①-⑤连点。</t>
  </si>
  <si>
    <t>B：一爆结束后，短空气后，爆左上⑥⑦连点。
E：左下①-③连点的②号点。</t>
  </si>
  <si>
    <t>A：高潮双击①爆</t>
  </si>
  <si>
    <t>B：高潮双击①爆</t>
  </si>
  <si>
    <t>B423</t>
  </si>
  <si>
    <t>高潮1双击①爆</t>
  </si>
  <si>
    <t>B：高潮2双击①爆</t>
  </si>
  <si>
    <t>B：B开让过①②③绿点绿，爆中右下④单点。
E：左手⑧⑨⑩连点。（双排同分）（备注）</t>
  </si>
  <si>
    <t>B：①②蓝条后过③④⑤散点，爆左下⑥单点。
E：右手②蓝条尾。（双排同分）（备注）</t>
  </si>
  <si>
    <t>A：高潮左侧①②③④⑤散点爆</t>
  </si>
  <si>
    <t>B：高潮右侧①②③④⑤散点爆</t>
  </si>
  <si>
    <t>A：高潮双击②</t>
  </si>
  <si>
    <t>B：高潮双击②</t>
  </si>
  <si>
    <t>I'm Falling in Love</t>
  </si>
  <si>
    <t>B222</t>
  </si>
  <si>
    <t>B：左下②③点绿后，爆右下④单点
E：中右上③④连点</t>
  </si>
  <si>
    <t>B359</t>
  </si>
  <si>
    <t>B435</t>
  </si>
  <si>
    <t>A：中右上①②连点后，爆中左上③单点
E：右①蓝条尾&amp;左②单点（双排一样）</t>
  </si>
  <si>
    <t>B：中左下①②连点后，爆中右下③单点
E：左①蓝条尾&amp;右②单点（双排一样）</t>
  </si>
  <si>
    <t>B243</t>
  </si>
  <si>
    <t>B：B开，左上斜下滑条蓝（稍假）
E：中右下④⑤连点</t>
  </si>
  <si>
    <t>B：中右⑨⑩点绿后过①②单点，爆左上③单点
E：右上⑩单点</t>
  </si>
  <si>
    <t>江南</t>
  </si>
  <si>
    <t>A：左侧①单点</t>
  </si>
  <si>
    <t>B129</t>
  </si>
  <si>
    <t>B："不懂怎么表现温柔的我们"左侧②单点</t>
  </si>
  <si>
    <t>Just Dance 王一博</t>
  </si>
  <si>
    <t>A：右手①②散点后，爆中间③-⑤竖连点。
E：右向左⑦-⑪连点第三个点：⑨号点。</t>
  </si>
  <si>
    <t>B332</t>
  </si>
  <si>
    <t>B：中上③长螺旋绿条后，爆右下①单点。（左手按）
E：中间⑤绿条尾&amp;右下⑥单点。（备注）</t>
  </si>
  <si>
    <t>B237</t>
  </si>
  <si>
    <t>B：左侧③④⑤三连点</t>
  </si>
  <si>
    <t>A72</t>
  </si>
  <si>
    <t>A：高潮左侧⑧⑨⑩⑪散点</t>
  </si>
  <si>
    <t>B：双击⑦接双⑧蓝</t>
  </si>
  <si>
    <t>B281</t>
  </si>
  <si>
    <t>B479</t>
  </si>
  <si>
    <t>A：高潮下方双击①</t>
  </si>
  <si>
    <t>B：高潮下方双击①</t>
  </si>
  <si>
    <t>可以了</t>
  </si>
  <si>
    <t>B：高潮右侧⑬蓝</t>
  </si>
  <si>
    <t>A90</t>
  </si>
  <si>
    <t>A：高潮左侧①横蓝条爆</t>
  </si>
  <si>
    <t>B：高潮左侧①竖蓝爆</t>
  </si>
  <si>
    <t>A：高潮左侧⑨蓝条</t>
  </si>
  <si>
    <t>B：左侧⑨蓝条</t>
  </si>
  <si>
    <t>A313</t>
  </si>
  <si>
    <t>A：高潮第2次左侧⑫⑬⑭三连点</t>
  </si>
  <si>
    <t>B：结尾第2个Z蓝</t>
  </si>
  <si>
    <t>绿光</t>
  </si>
  <si>
    <t>B172</t>
  </si>
  <si>
    <t>B248</t>
  </si>
  <si>
    <t>B：左侧④⑤⑥三连点</t>
  </si>
  <si>
    <t>Love Story</t>
  </si>
  <si>
    <t>B273</t>
  </si>
  <si>
    <t>B：左侧①蓝</t>
  </si>
  <si>
    <t>B307</t>
  </si>
  <si>
    <t>B：右侧⑥⑦⑧⑨散点</t>
  </si>
  <si>
    <t>B224</t>
  </si>
  <si>
    <t>B147</t>
  </si>
  <si>
    <t>B：左侧倒m蓝</t>
  </si>
  <si>
    <t>B259</t>
  </si>
  <si>
    <t>B：结尾左侧⑥⑦⑧三连点</t>
  </si>
  <si>
    <t>恋爱幸运曲奇</t>
  </si>
  <si>
    <t>B218</t>
  </si>
  <si>
    <t>B：左侧②蓝</t>
  </si>
  <si>
    <t>B262</t>
  </si>
  <si>
    <t>B：结尾双击①</t>
  </si>
  <si>
    <t>B：结尾双击③右侧④单点</t>
  </si>
  <si>
    <t>A：高潮左侧②③④⑤散点</t>
  </si>
  <si>
    <t>B：高潮右侧②③④⑤散点</t>
  </si>
  <si>
    <t>A174存</t>
  </si>
  <si>
    <t>A：左侧⑥单点存气</t>
  </si>
  <si>
    <t>B334</t>
  </si>
  <si>
    <t>A：左⑦绿过后右侧⑨单点</t>
  </si>
  <si>
    <t>A271</t>
  </si>
  <si>
    <t>A：男声第一句，右下⑨长绿按住，爆左上⑪-⑬连点。
E：中间⑫-⑳转圈连点尾。（备注）</t>
  </si>
  <si>
    <t>B：男声第二句，右下⑮单点后，爆左手①②③连点。
E：右上①②③连点。</t>
  </si>
  <si>
    <t>A：①-③散点后，爆中右向上④-⑥连点。（左手按）
E：左下④蓝条尾&amp;右下⑤单点。（偷）</t>
  </si>
  <si>
    <t>B737</t>
  </si>
  <si>
    <t>B：⑥单点过点空气，爆右下⑦右滑蓝条。（左手按）
E：左上⑰蓝条3/5。（备注）</t>
  </si>
  <si>
    <t>B：左上⑩直绿按住过⑪单点，爆右下⑫单点
E：右上⑧⑨连点（非满分）</t>
  </si>
  <si>
    <t>B823</t>
  </si>
  <si>
    <t>B：右上①心型长绿按住过3个点，爆左上⑤起手连点
E：右⑰蓝条尾&amp;左上①单点（备注）</t>
  </si>
  <si>
    <t>Me，Myself &amp; I</t>
  </si>
  <si>
    <t>漫时光</t>
  </si>
  <si>
    <t>A：右侧①单点</t>
  </si>
  <si>
    <t>B232</t>
  </si>
  <si>
    <t>B：左侧⑤单点</t>
  </si>
  <si>
    <t>B：左侧⑤⑥⑦三连点</t>
  </si>
  <si>
    <t>A：第2次左侧②绿</t>
  </si>
  <si>
    <t>B：第2次左侧②绿</t>
  </si>
  <si>
    <t>A：高潮中间⑤单点</t>
  </si>
  <si>
    <t>A157存</t>
  </si>
  <si>
    <t>A：近结尾“额额”左侧④竖蓝爆存气</t>
  </si>
  <si>
    <t>A162</t>
  </si>
  <si>
    <t>A：中右⑥⑦⑧散点后，爆中右上⑨斜下滑蓝条
E：左上③④⑤连点（双排一样）</t>
  </si>
  <si>
    <t>B：中右⑥⑦⑧散点后，爆中右上⑨斜下滑蓝条
E：左上③④⑤连点（双排一样）</t>
  </si>
  <si>
    <t>A：中左上①②点绿后，爆右下向左③-⑥连点
E：左上⑦⑧连点</t>
  </si>
  <si>
    <t>B219</t>
  </si>
  <si>
    <t>B：B开蓝条后过②单点，爆右下④单点
E：右下④蓝条尾</t>
  </si>
  <si>
    <t>A138</t>
  </si>
  <si>
    <t>A：右侧④单点接⑤横蓝</t>
  </si>
  <si>
    <t>B：潮中间双③竖蓝</t>
  </si>
  <si>
    <t>B：右下向上⑥⑦⑧连点后，爆右下①单点（极）。
E：右侧④⑤连点。</t>
  </si>
  <si>
    <t>B298</t>
  </si>
  <si>
    <t>B：中右上②短绿后，爆左侧③短绿。（假）。
E：B短结尾，⑤-⑨连点末</t>
  </si>
  <si>
    <t>A：右手⑥⑦两散点后，爆中左下⑧单点
E：左手⑦-⑨点点绿的⑨绿条头。</t>
  </si>
  <si>
    <t>B169</t>
  </si>
  <si>
    <t>B：空气后，过中左下①单点，爆右下②右滑蓝条
E：右上⑥⑦连点</t>
  </si>
  <si>
    <t>New Divide</t>
  </si>
  <si>
    <t>A12</t>
  </si>
  <si>
    <t>A203存</t>
  </si>
  <si>
    <t>A：右侧⑨蓝存气</t>
  </si>
  <si>
    <t>B：双击⑥</t>
  </si>
  <si>
    <t>B339</t>
  </si>
  <si>
    <t>B：双击⑤</t>
  </si>
  <si>
    <t>A：左1开始三联点
E：上方5单点</t>
  </si>
  <si>
    <t>B：上方10单点
E：上方3开始三联点</t>
  </si>
  <si>
    <t>A145</t>
  </si>
  <si>
    <t>A：右2单点
E：上方5单点</t>
  </si>
  <si>
    <t>A：高潮左侧⑭⑮⑯三连点</t>
  </si>
  <si>
    <t>B：高潮右侧⑭⑮⑯三连点</t>
  </si>
  <si>
    <t>B：双⑤横蓝</t>
  </si>
  <si>
    <t>B623</t>
  </si>
  <si>
    <t>B：结尾双③横蓝</t>
  </si>
  <si>
    <t>OKAY</t>
  </si>
  <si>
    <t>B148</t>
  </si>
  <si>
    <t>A：右侧⑦单点</t>
  </si>
  <si>
    <t>B：左侧⑦单点爆</t>
  </si>
  <si>
    <t>A：右手⑦⑧两散点后，爆左手①-③连点（假）
E：左下③单点</t>
  </si>
  <si>
    <t>B315</t>
  </si>
  <si>
    <t>B：空气后，过左上①单点，爆左侧②③点蓝
E：中右⑩⑪点绿的⑩单点</t>
  </si>
  <si>
    <t>千囍与手抄卷</t>
  </si>
  <si>
    <t>A：左侧⑤⑥单点接⑦蓝</t>
  </si>
  <si>
    <t>B221</t>
  </si>
  <si>
    <t>B：高潮左侧⑥蓝</t>
  </si>
  <si>
    <t>A81</t>
  </si>
  <si>
    <t>A：第2次右③绿过后左侧④⑤⑥三连点</t>
  </si>
  <si>
    <t>B211</t>
  </si>
  <si>
    <t>A：右下⑦弧形长绿后，爆左上向右①-⑤连点
E：右手③-⑥连点（双排同分）</t>
  </si>
  <si>
    <t>B：右下⑥弧形长绿后，爆左下向上①-④连点
E：上方向右①-⑤连点（双排同分）</t>
  </si>
  <si>
    <t>A48</t>
  </si>
  <si>
    <t>A：右下⑧⑨散点后，爆左下⑩左滑蓝条。
E：右下①单点。</t>
  </si>
  <si>
    <t>B：三根绿条和左上①单点后，爆左下②③④连点。
E：左上③蓝条前3cb。（备注）</t>
  </si>
  <si>
    <t>若我仍少年</t>
  </si>
  <si>
    <t>B171</t>
  </si>
  <si>
    <t>B：右下③④长条点长绿后，爆左下⑤上滑蓝条。（假）
E：左上⑧左蓝条尾（双排一样）</t>
  </si>
  <si>
    <t>B251</t>
  </si>
  <si>
    <t>B：左上③④点长绿后，爆右上⑤下滑蓝条（假）
E：右下⑧右滑条（双排一样）</t>
  </si>
  <si>
    <t>A135</t>
  </si>
  <si>
    <t>A：双击⑧</t>
  </si>
  <si>
    <t>B：左侧⑤绿条</t>
  </si>
  <si>
    <t>B：左⑥⑦连点和右上⑧单点后，爆右下⑼短绿
E：左上⑧蓝条尾。</t>
  </si>
  <si>
    <t>B：左下④短绿条后，爆中右上⑤⑥连点。
E：右下⑤蓝条尾。</t>
  </si>
  <si>
    <t>A239存</t>
  </si>
  <si>
    <t>A：结尾①②③④绿过后左侧⑤横蓝存气</t>
  </si>
  <si>
    <t>B：近结尾音乐部分左侧①②③④散点接倒m蓝</t>
  </si>
  <si>
    <t>A54</t>
  </si>
  <si>
    <t>A：右侧第1个④蓝过后左侧⑦⑧单点接⑨蓝条</t>
  </si>
  <si>
    <t>B：左④蓝过后中间⑤单点</t>
  </si>
  <si>
    <t>Run Roit</t>
  </si>
  <si>
    <t>A93</t>
  </si>
  <si>
    <t>A：左手⑧长绿后，爆右上⑨下滑蓝条
E：中左下①单点</t>
  </si>
  <si>
    <t>B：中左上①单点后，爆中右上②-④连点，（左手按）
E：右下④⑤点绿绿的⑤头</t>
  </si>
  <si>
    <t>Sometimes</t>
  </si>
  <si>
    <t>A：右侧②③单点接④蓝</t>
  </si>
  <si>
    <t>B173</t>
  </si>
  <si>
    <t>B：左侧③单点</t>
  </si>
  <si>
    <t>A：中左②③④三连点后，爆中右下⑤单点（极）
E：右上⑨蓝条尾</t>
  </si>
  <si>
    <t>B186</t>
  </si>
  <si>
    <t>B：中右②③④三连点后，爆中左上⑤单点（极）
E：左下⑨蓝条尾</t>
  </si>
  <si>
    <t>A：左上方方3开始三联点（存）
E：右下方10号单点</t>
  </si>
  <si>
    <t>B：右下3开始三联点
E：中下15绿条吃一半</t>
  </si>
  <si>
    <t>B：左上方1单点
E：中间7单点</t>
  </si>
  <si>
    <t>B329</t>
  </si>
  <si>
    <t>B：右手⑭-⑯点点绿后，爆左上向右①-③连点
E：下方⑦蓝条2/3</t>
  </si>
  <si>
    <t>B：左下⑪长绿后过五个散点，爆中右上①单点（假）
E：中左⑦⑧⑨连点</t>
  </si>
  <si>
    <t>A61</t>
  </si>
  <si>
    <t>A：左侧⑨横蓝</t>
  </si>
  <si>
    <t>B282</t>
  </si>
  <si>
    <t>B：第2次左侧③横蓝条</t>
  </si>
  <si>
    <t>A：右侧①横蓝</t>
  </si>
  <si>
    <t>B：左侧①横蓝</t>
  </si>
  <si>
    <t>A：左手⑥⑦散点后过空气，爆中右下①单点（假）
E：A段结尾，⑦-⑦双蓝3/4（提前截断）</t>
  </si>
  <si>
    <t>B275</t>
  </si>
  <si>
    <t>B：B开不久，右上⑥长绿后，爆左下①右滑蓝条
E：下方⑥-⑥双绿前6cb</t>
  </si>
  <si>
    <t>A：短空气后，过左上①单点，爆中左上②下滑蓝条
E：右⑤绿条尾&amp;左上⑥单点</t>
  </si>
  <si>
    <t>B：B开过三个单点，爆下方④单点（假）
E：左下①②③连点</t>
  </si>
  <si>
    <t>A：高潮第1个左侧①横蓝条</t>
  </si>
  <si>
    <t>B：左侧①横蓝条</t>
  </si>
  <si>
    <t>A85</t>
  </si>
  <si>
    <t>A：左上③④点绿后，爆右上向下⑤⑥连点
E：左下①②点绿的①号点（偷）</t>
  </si>
  <si>
    <t>B：右下③④点绿后，爆左下向上⑤⑥连点
E：右上①②点绿的①号点（偷）</t>
  </si>
  <si>
    <t>B：双⑨横蓝</t>
  </si>
  <si>
    <t>B658</t>
  </si>
  <si>
    <t>B：结尾高2右侧④⑤⑥三连点</t>
  </si>
  <si>
    <t>A：①单点</t>
  </si>
  <si>
    <t>B612</t>
  </si>
  <si>
    <t>B：右侧②蓝条</t>
  </si>
  <si>
    <t>B：中左下④长绿后过空气，爆左上右下⑤-⑤双蓝条
E：中间⑥单点</t>
  </si>
  <si>
    <t>B：左上⑫⑬点绿后过①-④单点，爆左上⑤单点
E：右下⑦单点</t>
  </si>
  <si>
    <t>淘汰</t>
  </si>
  <si>
    <t>A32</t>
  </si>
  <si>
    <t>A：第2个(左侧⑩)蓝</t>
  </si>
  <si>
    <t>B136</t>
  </si>
  <si>
    <t>B：开头①蓝</t>
  </si>
  <si>
    <t>Try Everything</t>
  </si>
  <si>
    <t>B：右上⑨-⑪点点绿后，爆下方①单点。
E：右上⑧单点。（双排一样）（备注）</t>
  </si>
  <si>
    <t>B256</t>
  </si>
  <si>
    <t>B：左手⑭-⑯点点绿后，爆下方①单点。
E：左上⑧单点。（双排一样）（备注）</t>
  </si>
  <si>
    <t>Trouble Is a Friend</t>
  </si>
  <si>
    <t>B：左⑧绿过后右侧①单点</t>
  </si>
  <si>
    <t>B：高潮左侧④⑤⑥⑦散点</t>
  </si>
  <si>
    <t>Take  It Off</t>
  </si>
  <si>
    <t>B：2个花绿音符过后中间④单点爆</t>
  </si>
  <si>
    <t>A：左上⑦-⑨点点绿后过①-⑤散点，爆左上⑥单点
E：A段结尾，右手⑩蓝条2/3</t>
  </si>
  <si>
    <t>B：左下⑦-⑨连点后过①-⑤散点，爆左下⑥单点
E：右⑧蓝条尾&amp;左①单点</t>
  </si>
  <si>
    <t>A：高潮左侧⑤横蓝</t>
  </si>
  <si>
    <t>B325</t>
  </si>
  <si>
    <t>B：高潮右侧①蓝条爆</t>
  </si>
  <si>
    <t>B：高1右⑫绿过后见右侧⑤⑥⑦⑧⑨散点</t>
  </si>
  <si>
    <t>B："说唱部分"左侧②③④散点</t>
  </si>
  <si>
    <t>A：中左下①单点后，爆中左上②③④连点（假）
E：右上⑥⑦连点（双排一样）</t>
  </si>
  <si>
    <t>B：中左下①单点后，爆中左上②③④连点（假）
E：右上⑥⑦连点（双排一样）</t>
  </si>
  <si>
    <t>A343存</t>
  </si>
  <si>
    <t>A：结尾双竖蓝条爆存气</t>
  </si>
  <si>
    <t>B543</t>
  </si>
  <si>
    <t>B：中间①单点接上下蓝条</t>
  </si>
  <si>
    <t>A：上方⑯-⑯双短绿后，爆左下①单点
E：左③蓝条尾&amp;右④绿条头（偷）（双排一样）</t>
  </si>
  <si>
    <t>B760</t>
  </si>
  <si>
    <t>B：上方⑰-⑰双短绿后，爆左下①单点
E：左③蓝条尾&amp;右④绿条头（偷）（双排一样）</t>
  </si>
  <si>
    <t>A250</t>
  </si>
  <si>
    <t>A：右上①单点后，爆右下向左②③④连点
E：中左⑨上滑蓝条尾（双排一样）</t>
  </si>
  <si>
    <t>B：左下①单点后，爆左上向右②③④连点
E：中左⑨上滑蓝条尾（双排一样）</t>
  </si>
  <si>
    <t>U</t>
  </si>
  <si>
    <t>U &amp; I</t>
  </si>
  <si>
    <t>A：左8从上往下蓝条（存）
E：右下方10号单点</t>
  </si>
  <si>
    <t>B：右下方6号蓝条
E：左3开始三联点</t>
  </si>
  <si>
    <t>A：右下方6号单点
E：右下方10号单点</t>
  </si>
  <si>
    <t>Victory（困难版）</t>
  </si>
  <si>
    <t>A：左上㉒桃心长绿后的连续蓝条爆左上⑨蓝条。
E：右手⑧蓝条尾&amp;左上①开连点头。（备注）</t>
  </si>
  <si>
    <t>B：①-㉑连点后过①蓝条，爆中间②蓝条。（左手按）
E：右上⑦[8]型蓝条尾&amp;下方⑪单点。</t>
  </si>
  <si>
    <t>我们都一样</t>
  </si>
  <si>
    <t>A13</t>
  </si>
  <si>
    <t>A：左侧④蓝</t>
  </si>
  <si>
    <t>A：高潮右侧⑤单点</t>
  </si>
  <si>
    <t>我的梦</t>
  </si>
  <si>
    <t>B132</t>
  </si>
  <si>
    <t>B：开头见右侧倒m蓝</t>
  </si>
  <si>
    <t>B：结尾右侧②绿</t>
  </si>
  <si>
    <t>微微一笑很倾城</t>
  </si>
  <si>
    <t>A：左侧倒m蓝</t>
  </si>
  <si>
    <t>B：结尾右侧倒m蓝</t>
  </si>
  <si>
    <t>B：副歌第一句，左⑥上滑蓝条后，爆右下⑦单点。
E：上面①蓝条尾&amp;右上②单点。</t>
  </si>
  <si>
    <t>B：中间连续绿条，爆第四个：右下⑨绿条头。
E：歌曲结束，左上④绿条&amp;右上⑫绿条尾。</t>
  </si>
  <si>
    <t>A：导歌开，爆第二个蓝条：左下⑤蓝条。
E：很多蓝条后，中⑧⑨⑩三连点。</t>
  </si>
  <si>
    <t>B448</t>
  </si>
  <si>
    <t>B：导歌开，爆第二个蓝条：左下⑤右滑蓝条。
E：很多蓝条后，左⑧⑨⑩⑪连点结束。</t>
  </si>
  <si>
    <t>B157</t>
  </si>
  <si>
    <t>B：B开让过一个单点，爆左上②单点。
E：第二组双点：两边⑤­⑤双点。</t>
  </si>
  <si>
    <t>B：副歌最后，左侧①、②散点后，爆下面③单点。
E：右下①绿条按住，左侧第五个单点，⑥单点。</t>
  </si>
  <si>
    <t>A112</t>
  </si>
  <si>
    <t>A：副歌，右侧五连点和左下⑧后，爆中间⑨-⑨双点。
E：下面⑤-⑤双点。（双排一样）</t>
  </si>
  <si>
    <t>B：副歌，右侧①、②撇点后，爆左上③-⑦连点。
E：下面⑨-⑨双点。（双排一样）</t>
  </si>
  <si>
    <t>A：间奏，左下⑬单点后，爆左下⑭单点。（存）
E：A段结束，右⑯蓝条尾。</t>
  </si>
  <si>
    <t>B：左下⑰绿长条后，导歌开始，爆右上①②③连点。
E：左上⑥⑦⑧三连点</t>
  </si>
  <si>
    <t>A：中左下②问号长绿后，爆右上③下滑蓝条
E：左手⑧单点</t>
  </si>
  <si>
    <t>B：中右下⑧长绿后，爆左上⑨下滑蓝条
E：右下⑧单点</t>
  </si>
  <si>
    <t>B：⑥-⑥双绿后过①单点，爆右上向下②③④连点
E：左手⑤蓝条尾</t>
  </si>
  <si>
    <t>B：⑦-⑦双绿后，爆中左下①单点
E：中左上⑩⑪⑫连点</t>
  </si>
  <si>
    <t>A：左上⑦⑧点绿后，爆中右上⑨右滑蓝条（极）
E：右下③④连点（偷）双排一样</t>
  </si>
  <si>
    <t>B：右下⑦⑧点绿后，爆中左下⑨右滑蓝条（极）
E：左上③④连点（偷）双排一样</t>
  </si>
  <si>
    <t>B309</t>
  </si>
  <si>
    <t>B：左①②③接④绿条按住，爆右⑤⑥⑦连点。
E：中间⑨蓝条尾 &amp; 右下⑩单点。</t>
  </si>
  <si>
    <t>B：副歌开，左上⑤⑥点后，爆中间①右滑蓝条。
E：左上角⑥单点。</t>
  </si>
  <si>
    <t>B：副歌开，左上⑤⑥点后，爆中下①右滑蓝条。
E：左上角⑥单点。</t>
  </si>
  <si>
    <t>What Makes You So Beautiful</t>
  </si>
  <si>
    <t>B：副歌开，⑥-⑥双绿条后，爆左上①单点。
E：左侧⑧⑨⑩三连点结束。</t>
  </si>
  <si>
    <t>B：右下⑨绿条按住，结束时爆 &amp; 右①单点。
E：右下⑧⑨⑩三连点结束。（备注）</t>
  </si>
  <si>
    <t>Why do u say （Feat. MOON, ASH ISLAND）</t>
  </si>
  <si>
    <t>B593</t>
  </si>
  <si>
    <t>B：副歌开始，按住右上①短绿，爆左手②左滑蓝条。
E：左下⑧蓝条尾&amp;右下⑨单点。</t>
  </si>
  <si>
    <t>B688</t>
  </si>
  <si>
    <t>B：右下⑤绿条按住，爆左上⑥⑦点蓝的⑦蓝条。
E：左下④蓝条2/3。（非满分）（备注）</t>
  </si>
  <si>
    <t>B：副歌开始，按住右上①短绿，爆左手②左滑蓝条。
E：左下⑧蓝条尾&amp;右下⑨单点。（非满分）（备注）</t>
  </si>
  <si>
    <t>B：中左下⑤绿条按住，爆右上⑥单点。
E：右下⑩蓝条尾&amp;左下⑪单点。</t>
  </si>
  <si>
    <t>B：中右上④绿条按住，爆左手开⑤-⑩连点。
E：中间⑦-⑪连点的⑨号点。（备注）</t>
  </si>
  <si>
    <t>B：中左下⑤绿条按住，爆右上⑥单点。
E：右下⑩蓝条尾&amp;左下⑪单点。（非满分）（备注）</t>
  </si>
  <si>
    <t>A：右上①蓝条后，爆左下②③连点接④双点。
E：左下⑪蓝条尾&amp;右上①单点。</t>
  </si>
  <si>
    <t>夏天的风</t>
  </si>
  <si>
    <t>A84</t>
  </si>
  <si>
    <t>A：中右上①②点绿后，爆左下向上④⑤连点
E：右下⑩单点</t>
  </si>
  <si>
    <t>B192</t>
  </si>
  <si>
    <t>B：左手④⑤连点后，爆右上⑥下滑蓝条（假）
E：右上⑪单点</t>
  </si>
  <si>
    <t>B：B段第一根蓝条和左上①单点后，爆左上②单点。
E： 左上⑨蓝条尾。（备注）</t>
  </si>
  <si>
    <t>B：右下⑥蓝条和空气后，爆左手①蓝条。
E：两根蓝条后，右上③单点。</t>
  </si>
  <si>
    <t>西风醉</t>
  </si>
  <si>
    <t>B：左上⑥蓝条后过三个单点，爆左手④单点
E：右手⑥蓝条尾</t>
  </si>
  <si>
    <t>B：左下⑤短绿条后过三个点，爆左手⑨单点
E：B段结束，左上⑤蓝条尾</t>
  </si>
  <si>
    <t>A：第一次副歌中，右下⑧⑨后，爆右上⑩左滑蓝条。
E：左侧①②③④连点结束。</t>
  </si>
  <si>
    <t>B280</t>
  </si>
  <si>
    <t>B：第一次副歌中，右下⑥⑦后，爆右上⑧左滑蓝条。
E：右侧①②③④连点。</t>
  </si>
  <si>
    <t>A131</t>
  </si>
  <si>
    <t>A：右左个一次绿条后，爆中间①右滑蓝条。（右手按）
E：下面③④⑤连点后，中上⑥单点。</t>
  </si>
  <si>
    <t>B：连续七个绿条后，爆右下角“一”形⑤蓝条。
E：左下⑤绿条按住，右上①单点结束。</t>
  </si>
  <si>
    <t>A：副歌，左下⑥绿条后，爆右①②③连点。（存）
E：A段结束：上面⑦­⑦双点。（偷）</t>
  </si>
  <si>
    <t>B：二次副歌，下面①­①双点后，爆左侧②­⑤连点。
E：左侧⑥⑦⑧⑨⑩连点。</t>
  </si>
  <si>
    <t>B：导歌最后，爆第二组双点，中间③­③双点。
E：左侧⑥⑦⑧三连点结束。</t>
  </si>
  <si>
    <t>B424</t>
  </si>
  <si>
    <t>B：右侧⑤绿条尾&amp;左侧⑥⑦⑧连点。
E：左下⑩单点。</t>
  </si>
  <si>
    <t>B：右下⑱单点后过空气，爆中左上①单点
E：中右⑩⑪点绿的⑪绿条头</t>
  </si>
  <si>
    <t>A：右上①-③连点后，爆左上起④-⑧连点。（存）
E：A段结束：⑫蓝条尾。</t>
  </si>
  <si>
    <t>B303</t>
  </si>
  <si>
    <t>B：左上⑦-⑨连点后，爆右上起①-⑤连点。
E：左手①-⑤连点的③号点。（备注）</t>
  </si>
  <si>
    <t>B：右上①-③连点后，爆左上起④-⑧连点。
E：右手[∞]型蓝条4/9。</t>
  </si>
  <si>
    <t>A：右上⑩长绿后，爆中左上①单点
E：左上④单点</t>
  </si>
  <si>
    <t>B：左下⑩长绿后，爆右上①单点
E：左上⑨蓝条尾</t>
  </si>
  <si>
    <t>A：短空气后过右手⑥⑦散点，爆中上⑧单点
E：左手⑧⑨⑩连点</t>
  </si>
  <si>
    <t>B：B开不久，爆右下向上⑥⑦⑧连点
E：右下①②连点的①号点</t>
  </si>
  <si>
    <t>夜空中最亮的星</t>
  </si>
  <si>
    <t>A：右下⑧蓝条按住过4cb爆。（左手按）
E：左下⑦[ω]型蓝条尾。（备注）</t>
  </si>
  <si>
    <t>B：右手④⑤散点后，爆中间⑥⑦⑧竖连点。
E：右下①②③连点第二个。</t>
  </si>
  <si>
    <t>有点甜</t>
  </si>
  <si>
    <t>B：右上⑦绿条后，爆第三个单点：左上③单点。
E：中间③④⑤连点。（双排一样）</t>
  </si>
  <si>
    <t>B：第二次副歌，爆第三个单点：左下③单点。
E：中间③④⑤连点。（双排一样）</t>
  </si>
  <si>
    <t>B：右上⑦绿条后，爆第三个单点：左上③单点。
E：中间③④⑤连点。</t>
  </si>
  <si>
    <t>B207</t>
  </si>
  <si>
    <t>B：中右⑧⑨⑩点点绿后，爆左侧①单点
E：右侧⑦单点</t>
  </si>
  <si>
    <t>B：右手②③④连点后，爆左手向上⑤⑥连点，
E：中左⑨蓝条尾</t>
  </si>
  <si>
    <t>A：左侧①单点后过空气，爆右上②-④连点
E：右上③④连点</t>
  </si>
  <si>
    <t>B189</t>
  </si>
  <si>
    <t>B：中上⑤单点后，爆中左下⑨单点
E：中左上③④连点</t>
  </si>
  <si>
    <t>A：副歌中，左下④单点后，爆左上⑤⑥⑦连点。
E：中间两个蓝条尾 &amp; 左下⑩绿条头。</t>
  </si>
  <si>
    <t>B285</t>
  </si>
  <si>
    <t>B：副歌中，右侧④单点后，爆左侧⑤⑥⑦三连点。
E：中间两个蓝条尾 &amp; 右下⑩绿条头。</t>
  </si>
  <si>
    <t>A209</t>
  </si>
  <si>
    <t>A：爆第二次双蓝：偏右⑥-⑥上滑双蓝。
E：两侧内滑⑧-⑧双蓝4/6。</t>
  </si>
  <si>
    <t>B754</t>
  </si>
  <si>
    <t>B：上方⑩波浪绿后爆第5根蓝条：中左⑤下滑蓝。
E：左上角绿条&amp;[8]型蓝条5/9。（非满分）（备注）</t>
  </si>
  <si>
    <t>终于</t>
  </si>
  <si>
    <t>直到世界终结</t>
  </si>
  <si>
    <t>B119</t>
  </si>
  <si>
    <t>B：第二次副歌，过四个点，爆中上⑤单点。
E：左手⑥蓝条尾&amp;右下⑦单点。</t>
  </si>
  <si>
    <t>B161</t>
  </si>
  <si>
    <t>B：左上⑪绿条后，爆右下①单点。
E：右下三连点后，左上①单点。（备注）</t>
  </si>
  <si>
    <t>B141</t>
  </si>
  <si>
    <t>B：左手①②③连点后，爆右上④右滑蓝条。
E：蓝条尾&amp;右上①单点。</t>
  </si>
  <si>
    <t>B：B开不久左下⑤短绿后，爆右上①单点（极）
E：左上③④⑤连点（偷）</t>
  </si>
  <si>
    <t>B：中右下⑨长绿后，爆左下向右⑩-⑫连点（假）
E：左下⑮单点</t>
  </si>
  <si>
    <t>专属味道</t>
  </si>
  <si>
    <t>A：副歌开，爆中上①­①双点。
E：中间②③④⑤⑥V字连点。（双排一样）</t>
  </si>
  <si>
    <t>B：副歌开，爆中上①­①双点。
E：中间②③④⑤⑥V字连点。（双排一样）</t>
  </si>
  <si>
    <t>A：下方①­①双长绿后，爆左上②单点。
E：左上①单点。</t>
  </si>
  <si>
    <t>B260</t>
  </si>
  <si>
    <t>B：下方⑥­⑥双点后过⑦⑧散点，爆中右上⑨单点。
E：右上⑨单点。</t>
  </si>
  <si>
    <t>A：副歌“再没可能”，上④绿条按住，爆中间⑤单点。
E：右侧④单点接⑤绿条，绿条前2cb。</t>
  </si>
  <si>
    <t>B：主歌最后，左下②绿条按住，爆右下③单点。
E：左侧①②接③蓝条后，右侧④单点。</t>
  </si>
  <si>
    <t>B：爆B开下方向右①-③连点。
E：右手②蓝条头。（非满分）（备注）</t>
  </si>
  <si>
    <t>B：右手⑨蓝条和左下⑩绿条后，爆右手下滑①蓝条。
E：右下③绿条头。</t>
  </si>
  <si>
    <t>B：B开下方三连点后，爆左手下滑④蓝条。
E：左下③绿条头。（备注）</t>
  </si>
  <si>
    <t>B192</t>
    <phoneticPr fontId="19" type="noConversion"/>
  </si>
  <si>
    <t>B：中右下7单点
E：上方3单点</t>
    <phoneticPr fontId="19" type="noConversion"/>
  </si>
  <si>
    <t>B235</t>
    <phoneticPr fontId="19" type="noConversion"/>
  </si>
  <si>
    <t>B：中右上7单点
E：下方3单点</t>
    <phoneticPr fontId="19" type="noConversion"/>
  </si>
  <si>
    <t>爆气</t>
    <phoneticPr fontId="19" type="noConversion"/>
  </si>
  <si>
    <t>A146</t>
    <phoneticPr fontId="19" type="noConversion"/>
  </si>
  <si>
    <t>A：左下5蓝条
E：1单点</t>
    <phoneticPr fontId="19" type="noConversion"/>
  </si>
  <si>
    <t>B393</t>
    <phoneticPr fontId="19" type="noConversion"/>
  </si>
  <si>
    <t>B：右上5蓝条
E：1单点</t>
    <phoneticPr fontId="19" type="noConversion"/>
  </si>
  <si>
    <t>极限</t>
    <phoneticPr fontId="19" type="noConversion"/>
  </si>
  <si>
    <t>B：左手10开始三连点接蓝条，爆13向右蓝条
E：左下16蓝条</t>
    <phoneticPr fontId="19" type="noConversion"/>
  </si>
  <si>
    <t>B643</t>
    <phoneticPr fontId="19" type="noConversion"/>
  </si>
  <si>
    <t>B：右手三点接蓝条，按住蓝条爆中上9开始连点
E：左下蓝条+右下1单点</t>
    <phoneticPr fontId="19" type="noConversion"/>
  </si>
  <si>
    <t>A：右下二连点后，爆左手6开始连点
E：左手123连点</t>
    <phoneticPr fontId="19" type="noConversion"/>
  </si>
  <si>
    <t>A：右侧⑥⑦⑧⑨散点
E：右上10蓝条尾+左上1连点</t>
    <phoneticPr fontId="19" type="noConversion"/>
  </si>
  <si>
    <t>A144</t>
    <phoneticPr fontId="19" type="noConversion"/>
  </si>
  <si>
    <t>A：右手绿条后爆左上5单点
E：左下11单点</t>
    <phoneticPr fontId="19" type="noConversion"/>
  </si>
  <si>
    <t>B319</t>
    <phoneticPr fontId="19" type="noConversion"/>
  </si>
  <si>
    <t>B：左手绿条后过5单点爆左下6单点
E：左手二连点</t>
    <phoneticPr fontId="19" type="noConversion"/>
  </si>
  <si>
    <t>B209</t>
  </si>
  <si>
    <t>B239</t>
  </si>
  <si>
    <t>B215</t>
  </si>
  <si>
    <t>爆气</t>
    <phoneticPr fontId="19" type="noConversion"/>
  </si>
  <si>
    <t>极限</t>
    <phoneticPr fontId="19" type="noConversion"/>
  </si>
  <si>
    <t>B422</t>
  </si>
  <si>
    <t>A55</t>
  </si>
  <si>
    <t>B355</t>
  </si>
  <si>
    <t>【结束】右下⑤⑥连点。（偷）（双排一样）</t>
  </si>
  <si>
    <t>A63</t>
  </si>
  <si>
    <t>A94</t>
  </si>
  <si>
    <t>B174</t>
  </si>
  <si>
    <t>A：右上1号球（存）
E：左5号球，中场</t>
  </si>
  <si>
    <t>B223</t>
  </si>
  <si>
    <t>A：右手⑥⑦散点后，爆右下⑧-⑩连点。（左手按）
E：左下③蓝条后，右下④单点。</t>
  </si>
  <si>
    <t>A：中右下⑫单点后，爆左到右①-⑤连点。
E：左手⑥⑦⑧连点。</t>
  </si>
  <si>
    <t>A：左下⑥绿条后，爆右上①单点。（存）
E：A段结束：左下③蓝条尾。</t>
  </si>
  <si>
    <t>A：连续八绿条按住右上⑧短绿后，爆左上①下滑蓝条。
E：下方⑭-⑭双绿条前4cb。</t>
  </si>
  <si>
    <t>A：右上⑥长绿按住后，爆结尾的左下①蓝条。（极）
E：上方⑤-⑤双点。（偷）</t>
  </si>
  <si>
    <t>A：开局过12个单点后，爆第一根蓝条：右下①蓝条。
E：右上⑥单点。</t>
  </si>
  <si>
    <t>A：右到左④-⑦四散点后，爆右上起①[S]型蓝条。
E：右④绿条尾&amp;左⑤单点。</t>
  </si>
  <si>
    <t>A：左上①②③连点后，爆左下④右滑蓝条。（极）
E：中左上⑨单点。（偷）</t>
  </si>
  <si>
    <t>B：左上⑥单点后，爆左手⑦单点。
E：右下③蓝条尾。</t>
  </si>
  <si>
    <t>B：右手③④两散点后，爆中左上⑤单点。
E：⑤-⑨折线连点。</t>
  </si>
  <si>
    <t>B：①-⑫散点后，爆左下角⑬蓝条。
E：左上⑦蓝条后，左上①单点。</t>
  </si>
  <si>
    <t>B：左手①②点绿后，爆右下③④点绿。
E：左上⑥绿条按住，右上①②连点结束。</t>
  </si>
  <si>
    <t>B：上面两次三连点后，爆下方⑨-⑨双蓝条。
E：下面⑨蓝条中。</t>
  </si>
  <si>
    <t>B：左下⑤-⑦点点绿按住绿条，爆结尾的右上⑧单点。
E：左下⑩蓝条尾。</t>
  </si>
  <si>
    <t>B：第三次副歌中，左手①-⑤连点后，爆右上⑥单点。
E：上方②-②双蓝尾。</t>
  </si>
  <si>
    <t>B：左手①-④散点后，爆右下⑤-⑨连点。（左手按）
E：右手⑦⑧⑨连点后，左上①-①双点。</t>
  </si>
  <si>
    <t>B：右手⑨⑩散点后过二连点，爆中右下③④连点。
E：④-⑦交互连点尾。</t>
  </si>
  <si>
    <t>B：右手⑧[?]型蓝条后过两单点，爆左上③右滑蓝条。
E：左上连点头：⑨号点。（偷）</t>
  </si>
  <si>
    <t>B：右手⑩绿条后，过点空气，爆左下①单点。
E：右下⑤绿条按住，左下⑥单点。</t>
  </si>
  <si>
    <t>B：右上⑦⑧⑨三连点后，爆左侧①蓝条。
E：右侧⑤⑥⑦三连点。（偷）</t>
  </si>
  <si>
    <t>B：左手③-⑤连点和右手⑥单点后，爆右下⑦单点。
E：上方①双蓝条尾。</t>
  </si>
  <si>
    <t>B：左下⑨⑩点绿后，爆右上向左①②连点。
E：中右下⑤⑥连点的⑤号点。</t>
  </si>
  <si>
    <t>B：右上⑤⑥⑦连点后，爆中右下⑧单点。
E：右下⑤⑥⑦连点。</t>
  </si>
  <si>
    <t>B：左上⑥单点后，爆左手⑦单点。
E：右下③蓝条尾。</t>
    <phoneticPr fontId="19" type="noConversion"/>
  </si>
  <si>
    <t>B：上面两次三连点后，爆下方⑨-⑨双蓝条。
E：下面⑨蓝条中。</t>
    <phoneticPr fontId="19" type="noConversion"/>
  </si>
  <si>
    <t>B：中间⑤长绿后，爆右下①绿条&amp;左下①单点。
E：左下⑧⑨⑩连点。（偷）</t>
    <phoneticPr fontId="19" type="noConversion"/>
  </si>
  <si>
    <t>B：第三次副歌中，左手①-⑤连点后，爆右上⑥单点。
E：上方②-②双蓝尾。</t>
    <phoneticPr fontId="19" type="noConversion"/>
  </si>
  <si>
    <t>B：右下⑤号蓝条后，爆左下⑥左滑蓝条。（极）
E：上面③-③双点。</t>
    <phoneticPr fontId="19" type="noConversion"/>
  </si>
  <si>
    <t>B：右手⑧[?]型蓝条后过两单点，爆左上③右滑蓝条。
E：左上连点头：⑨号点。（偷）</t>
    <phoneticPr fontId="19" type="noConversion"/>
  </si>
  <si>
    <t>B：右手⑩绿条后，过点空气，爆左下①单点。
E：右下⑤绿条按住，左下⑥单点。</t>
    <phoneticPr fontId="19" type="noConversion"/>
  </si>
  <si>
    <t>B：B开双绿条后，爆上面②-②双点。（极）
E：右上①单点。（偷）</t>
    <phoneticPr fontId="19" type="noConversion"/>
  </si>
  <si>
    <t>B：左手③-⑤连点和右手⑥单点后，爆右下⑦单点。
E：上方①双蓝条尾。</t>
    <phoneticPr fontId="19" type="noConversion"/>
  </si>
  <si>
    <t>B：空气后，过①-④散点，爆右下⑤单点。
E：左上⑦⑧点绿的⑦单点。</t>
    <phoneticPr fontId="19" type="noConversion"/>
  </si>
  <si>
    <t>B：左下⑨⑩点绿后，爆右上向左①②连点。
E：中右下⑤⑥连点的⑤号点。</t>
    <phoneticPr fontId="19" type="noConversion"/>
  </si>
  <si>
    <t>B：右上2号球
E：左上2号球</t>
    <phoneticPr fontId="19" type="noConversion"/>
  </si>
  <si>
    <t>B：右上2号球
E：中间6号球</t>
    <phoneticPr fontId="19" type="noConversion"/>
  </si>
  <si>
    <t>B：左下③④⑤后，爆右⑥⑦⑧第二个。（左手按）
E：两个蓝条后，第二组双点。</t>
    <phoneticPr fontId="19" type="noConversion"/>
  </si>
  <si>
    <t>B：B开第三组双绿条，上方③-③双绿按住过6cb爆。
E：左下角⑥⑦⑧⑨连点。</t>
    <phoneticPr fontId="19" type="noConversion"/>
  </si>
  <si>
    <t>A：左上①-③散点后，爆左下④单点。
E：左手⑦[Z]蓝条尾&amp;右上⑧点。</t>
    <phoneticPr fontId="19" type="noConversion"/>
  </si>
  <si>
    <t>B：左上②③散点后，爆左手④单点。
E：左手①[Z]型蓝条尾&amp;右上②单点。</t>
    <phoneticPr fontId="19" type="noConversion"/>
  </si>
  <si>
    <t>B：右上⑨蓝条后过空气，爆左上①-④连点。（极）
E：右③蓝条尾&amp;左④绿条头。（偷）</t>
    <phoneticPr fontId="19" type="noConversion"/>
  </si>
  <si>
    <t>A：左下③绿条后，爆右上④单点。（存）
E：A段结束，左上⑦-⑩连点。</t>
  </si>
  <si>
    <t>B：B开让过三个单点，爆左下④单点。
E：左上⑭蓝条尾。</t>
  </si>
  <si>
    <t>A：副歌开始，爆左下①上滑蓝条。
E：右手⑥单点。</t>
  </si>
  <si>
    <t>B：副歌开始，右下⑦绿条按住，爆左上①下滑蓝条。
E：右手⑦-⑩的⑦号点。</t>
  </si>
  <si>
    <t>A：两次双蓝后，爆第二次双绿：下方两侧②-②双绿。
E：左上⑩绿条2/5。</t>
  </si>
  <si>
    <t>B：副歌中，右上⑭绿条后，爆右下⑮上滑蓝条。
E：第四个蓝条尾 &amp; 左⑤单点。</t>
  </si>
  <si>
    <t>B：左上⑥长绿后，爆中右上起①-④连点。（左手按）
E：左手④-⑧连点尾。</t>
  </si>
  <si>
    <t>B：连续16根绿条的结尾⑧绿条按住爆左下①右滑蓝条。
E：右上⑤绿条尾&amp;左手⑥单点。</t>
  </si>
  <si>
    <t>B：⑥-⑥波浪双长绿后过④蓝条，爆左下⑤左滑蓝条。
E：右下⑨蓝条尾&amp;左上⑩蓝条头。</t>
  </si>
  <si>
    <t>B：结尾纯音乐，过左手①②散点，爆左下③弧形蓝。
E：右上④起手连点的⑧号点。</t>
  </si>
  <si>
    <t>A：左下⑧⑨连点后过空气，爆右上①单点。（存）
E：A段结束：右下⑭单点。（需黄吃）</t>
  </si>
  <si>
    <t>B：右上⑧⑨连点后过空气，爆左下①单点。
E：左上⑧长绿前3cb。</t>
  </si>
  <si>
    <t>A：左手⑥⑦⑧点点绿后，爆右上⑨单点。（极）
E：左上⑫⑬⑭点点绿的⑭绿条头。（偷）</t>
  </si>
  <si>
    <t>B：右手⑥⑦⑧点点绿后，爆左下①单点。（极）
E：右下⑫⑬⑭点点绿的⑭绿条头。（偷）</t>
  </si>
  <si>
    <t>B：右下③右滑蓝和右上④单点后，爆中右上⑤单点。
E：③-③双蓝尾。</t>
  </si>
  <si>
    <t>B：左下③左滑蓝和左上④单点后，爆中左上⑤单点。
E：双蓝尾。</t>
  </si>
  <si>
    <t>B：左下③左滑蓝和左上④单点后，爆中左上⑤单点。
E：③-③双蓝尾。</t>
  </si>
  <si>
    <t>A：左手①②散点后，爆中左下③单点。
E：左手⑤⑥⑦连点。</t>
  </si>
  <si>
    <t>B：右手①②散点后，爆中右上③单点。
E：右手⑤⑥⑦连点。</t>
  </si>
  <si>
    <t>A：右下⑥-⑧连点和右上⑨单点后，爆中左上⑩蓝条。
E：右下④-⑥连点。（⑥号点黄吃）</t>
  </si>
  <si>
    <t>B：左上⑥-⑧连点和左下⑨单点后，爆中右下⑩蓝条。
E：左上④-⑥连点。（⑥号点黄吃）</t>
  </si>
  <si>
    <t>A：中右下②③两散点后，爆左上④⑤连点。（假）
E：右手⑦蓝条尾。</t>
  </si>
  <si>
    <t>B：中左上②③两散点后，爆右下④⑤连点。（假）
E：左手⑦蓝条尾。</t>
  </si>
  <si>
    <t>A：上方⑨⑩点绿后过两散点，爆左侧③单点。（极）
E：右下⑤⑥连点。（偷）</t>
  </si>
  <si>
    <t>B：上方⑨⑩点绿后过两散点，爆左侧③单点。（极）
E：右下⑤⑥连点。（偷）</t>
  </si>
  <si>
    <t>B：B开：爆中右下向上①②连点。
E：左上⑥长绿前3cb。</t>
  </si>
  <si>
    <t>B：中右下⑧短绿后，爆中左上向下⑨⑩连点。
E：右下⑥长绿前3cb。</t>
  </si>
  <si>
    <t>A：右手②-④连点后，爆中左上⑤-⑧连点。（假）
E：中右下⑨蓝条尾。</t>
  </si>
  <si>
    <t>B：左手②-④连点后，爆中右下⑤-⑧连点。（假）
E：中左上⑨蓝条尾。</t>
  </si>
  <si>
    <t>B：左上⑥绿条后，爆右上①单点。
E：左上⑤单点。</t>
  </si>
  <si>
    <t>A：中左上⑦⑧点绿后，爆右侧向下①-④弧形连点。
E：右上⑨蓝条2/3。</t>
  </si>
  <si>
    <t>B587</t>
    <phoneticPr fontId="19" type="noConversion"/>
  </si>
  <si>
    <t>A51</t>
    <phoneticPr fontId="19" type="noConversion"/>
  </si>
  <si>
    <t>A：右手⑩⑪⑫点点绿后，爆左上①弧形蓝
E：右手③蓝条头</t>
  </si>
  <si>
    <t>A：左手④-⑦散点后，爆上方⑧-⑧外滑双蓝。
E：两边②-②双蓝条尾。</t>
  </si>
  <si>
    <t>A：右下⑨-⑪连点后，爆右手⑫下滑蓝条。
E：⑫蓝条尾&amp;⑬蓝条头。</t>
  </si>
  <si>
    <t>A：右上到中下⑦-⑫五连点接绿条按住⑫绿条，左上①②③点点蓝爆③号蓝条。（双爆）
E：左手①-④连点。（非满分）</t>
  </si>
  <si>
    <t>A：左手①-③连点后，爆右上始④弧型连点。（左手）
E：⑦蓝条尾&amp;⑧蓝条头。</t>
  </si>
  <si>
    <t>A：左下⑤绿条按住，爆右上⑥右滑蓝条。
E：右下④蓝条头。</t>
    <phoneticPr fontId="19" type="noConversion"/>
  </si>
  <si>
    <t>A：左上⑤绿条后，爆右下⑥⑦⑧连点。（左手按）
E：左手①扁圆蓝条5/7。</t>
    <phoneticPr fontId="19" type="noConversion"/>
  </si>
  <si>
    <t>A：①-⑥散点后，爆中左上⑦短绿。
E：右手⑦蓝条尾。</t>
    <phoneticPr fontId="19" type="noConversion"/>
  </si>
  <si>
    <r>
      <t>A：左手⑨⑩</t>
    </r>
    <r>
      <rPr>
        <sz val="11"/>
        <color rgb="FF000000"/>
        <rFont val="Segoe UI Symbol"/>
        <family val="1"/>
      </rPr>
      <t>⑪</t>
    </r>
    <r>
      <rPr>
        <sz val="11"/>
        <color rgb="FF000000"/>
        <rFont val="微软雅黑"/>
        <family val="2"/>
        <charset val="134"/>
      </rPr>
      <t>连点后，爆右下①-①双点。（极）
E：右上起③-⑥四连点接⑦-⑦双点。（偷）</t>
    </r>
    <phoneticPr fontId="19" type="noConversion"/>
  </si>
  <si>
    <t>A：一爆结束后让过下方③-③双点爆左手④单点。
E：上方偏右⑤-⑤双点。（非满分）</t>
    <phoneticPr fontId="19" type="noConversion"/>
  </si>
  <si>
    <t>B：左上⑤绿条后，爆右下⑥⑦⑧连点。（左手按）
E：左手①扁圆蓝条。</t>
    <phoneticPr fontId="19" type="noConversion"/>
  </si>
  <si>
    <r>
      <t>A：上方⑧⑨⑩连点后，爆右侧</t>
    </r>
    <r>
      <rPr>
        <sz val="11"/>
        <color rgb="FF000000"/>
        <rFont val="Segoe UI Symbol"/>
        <family val="1"/>
      </rPr>
      <t>⑪</t>
    </r>
    <r>
      <rPr>
        <sz val="11"/>
        <color rgb="FF000000"/>
        <rFont val="微软雅黑"/>
        <family val="2"/>
        <charset val="134"/>
      </rPr>
      <t>单点。（假）
E：右下⑦蓝条尾。</t>
    </r>
    <phoneticPr fontId="19" type="noConversion"/>
  </si>
  <si>
    <t>A106</t>
    <phoneticPr fontId="19" type="noConversion"/>
  </si>
  <si>
    <t>A：左手1单点
E：右手5单点</t>
    <phoneticPr fontId="19" type="noConversion"/>
  </si>
  <si>
    <r>
      <t>A：左上</t>
    </r>
    <r>
      <rPr>
        <sz val="11"/>
        <color rgb="FF000000"/>
        <rFont val="Segoe UI Symbol"/>
        <family val="1"/>
      </rPr>
      <t>⑱</t>
    </r>
    <r>
      <rPr>
        <sz val="11"/>
        <color rgb="FF000000"/>
        <rFont val="等线"/>
        <family val="3"/>
        <charset val="134"/>
      </rPr>
      <t>单点后过空气，爆中右下①单点
E：A段结束，</t>
    </r>
    <r>
      <rPr>
        <sz val="11"/>
        <color rgb="FF000000"/>
        <rFont val="Segoe UI Symbol"/>
        <family val="1"/>
      </rPr>
      <t>⑯⑰</t>
    </r>
    <r>
      <rPr>
        <sz val="11"/>
        <color rgb="FF000000"/>
        <rFont val="等线"/>
        <family val="3"/>
        <charset val="134"/>
      </rPr>
      <t>连点</t>
    </r>
    <phoneticPr fontId="19" type="noConversion"/>
  </si>
  <si>
    <t>B168</t>
    <phoneticPr fontId="19" type="noConversion"/>
  </si>
  <si>
    <t>B：中间右手4单点
E：蓝条结束</t>
    <phoneticPr fontId="19" type="noConversion"/>
  </si>
  <si>
    <r>
      <t>A：空气后，过右上</t>
    </r>
    <r>
      <rPr>
        <sz val="11"/>
        <color rgb="FF000000"/>
        <rFont val="Segoe UI Symbol"/>
        <family val="1"/>
      </rPr>
      <t>⑯</t>
    </r>
    <r>
      <rPr>
        <sz val="11"/>
        <color rgb="FF000000"/>
        <rFont val="等线"/>
        <family val="3"/>
        <charset val="134"/>
      </rPr>
      <t>单点，爆左上①-③连点（存）
E：A段结束，右手连点的</t>
    </r>
    <r>
      <rPr>
        <sz val="11"/>
        <color rgb="FF000000"/>
        <rFont val="Segoe UI Symbol"/>
        <family val="1"/>
      </rPr>
      <t>⑪</t>
    </r>
    <r>
      <rPr>
        <sz val="11"/>
        <color rgb="FF000000"/>
        <rFont val="等线"/>
        <family val="3"/>
        <charset val="134"/>
      </rPr>
      <t>号点</t>
    </r>
    <phoneticPr fontId="19" type="noConversion"/>
  </si>
  <si>
    <t>A：右手③④⑤点点绿后，爆中左上⑥单点
E：右上⑥⑦连点</t>
    <phoneticPr fontId="19" type="noConversion"/>
  </si>
  <si>
    <t>B：左手③④⑤点点绿后，爆中右上①单点
E：左下⑥⑦连点</t>
    <phoneticPr fontId="19" type="noConversion"/>
  </si>
  <si>
    <t>A：右下⑥⑦点绿后，爆左下向上①-④连点。
E：左上⑦长绿前2cb</t>
    <phoneticPr fontId="19" type="noConversion"/>
  </si>
  <si>
    <t>A：三个散点后，4轨按住，左滑时爆
E：3轨二连点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</si>
</sst>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3" x14ac:knownFonts="1">
    <font>
      <sz val="11"/>
      <color rgb="FF000000"/>
      <name val="等线"/>
      <charset val="134"/>
    </font>
    <font>
      <b/>
      <sz val="18"/>
      <color rgb="FF000000"/>
      <name val="宋体"/>
      <family val="3"/>
      <charset val="134"/>
      <scheme val="minor"/>
    </font>
    <font>
      <sz val="14"/>
      <color rgb="FF000000"/>
      <name val="黑体"/>
      <family val="3"/>
      <charset val="134"/>
    </font>
    <font>
      <b/>
      <sz val="16"/>
      <color rgb="FF000000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13"/>
      <color rgb="FF000000"/>
      <name val="华文细黑"/>
      <family val="3"/>
      <charset val="134"/>
    </font>
    <font>
      <b/>
      <sz val="18"/>
      <color rgb="FF000000"/>
      <name val="等线"/>
      <family val="3"/>
      <charset val="134"/>
    </font>
    <font>
      <b/>
      <sz val="14"/>
      <color rgb="FF000000"/>
      <name val="宋体"/>
      <family val="3"/>
      <charset val="134"/>
      <scheme val="minor"/>
    </font>
    <font>
      <b/>
      <sz val="14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4"/>
      <color rgb="FF000000"/>
      <name val="黑体"/>
      <family val="3"/>
      <charset val="134"/>
    </font>
    <font>
      <b/>
      <sz val="13"/>
      <color theme="1"/>
      <name val="宋体"/>
      <family val="3"/>
      <charset val="134"/>
      <scheme val="minor"/>
    </font>
    <font>
      <b/>
      <sz val="13"/>
      <color rgb="FF00B050"/>
      <name val="宋体"/>
      <family val="3"/>
      <charset val="134"/>
      <scheme val="minor"/>
    </font>
    <font>
      <sz val="16"/>
      <color rgb="FF000000"/>
      <name val="黑体"/>
      <family val="3"/>
      <charset val="134"/>
    </font>
    <font>
      <sz val="16"/>
      <color rgb="FF000000"/>
      <name val="微软雅黑"/>
      <family val="2"/>
      <charset val="134"/>
    </font>
    <font>
      <sz val="16"/>
      <color rgb="FF000000"/>
      <name val="Tahoma"/>
      <family val="2"/>
    </font>
    <font>
      <sz val="16"/>
      <color rgb="FF000000"/>
      <name val="Calibri"/>
      <family val="2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 Symbol"/>
      <family val="1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BFBFBF"/>
      </patternFill>
    </fill>
    <fill>
      <patternFill patternType="solid">
        <fgColor rgb="FFF5F5F5"/>
        <bgColor rgb="FFF2F2F2"/>
      </patternFill>
    </fill>
    <fill>
      <patternFill patternType="solid">
        <fgColor rgb="FFF5F5F5"/>
        <bgColor indexed="64"/>
      </patternFill>
    </fill>
    <fill>
      <patternFill patternType="solid">
        <fgColor rgb="FFFEFEEC"/>
        <bgColor rgb="FFF6FFF3"/>
      </patternFill>
    </fill>
    <fill>
      <patternFill patternType="solid">
        <fgColor rgb="FFF2EBE6"/>
        <bgColor rgb="FFFDECE3"/>
      </patternFill>
    </fill>
    <fill>
      <patternFill patternType="solid">
        <fgColor rgb="FFFEF0F9"/>
        <bgColor rgb="FFF7F0FE"/>
      </patternFill>
    </fill>
    <fill>
      <patternFill patternType="solid">
        <fgColor rgb="FFF7F0FE"/>
        <bgColor rgb="FFFEF0F9"/>
      </patternFill>
    </fill>
    <fill>
      <patternFill patternType="solid">
        <fgColor rgb="FFF9F9F9"/>
        <bgColor rgb="FFF5F5F5"/>
      </patternFill>
    </fill>
    <fill>
      <patternFill patternType="solid">
        <fgColor rgb="FFF6FFF3"/>
        <bgColor rgb="FFFEFEEC"/>
      </patternFill>
    </fill>
    <fill>
      <patternFill patternType="solid">
        <fgColor rgb="FFE7F1F9"/>
        <bgColor rgb="FFF2F2F2"/>
      </patternFill>
    </fill>
    <fill>
      <patternFill patternType="solid">
        <fgColor theme="0" tint="-0.1498764000366222"/>
        <bgColor rgb="FFBFBFBF"/>
      </patternFill>
    </fill>
    <fill>
      <patternFill patternType="solid">
        <fgColor rgb="FFE1F7FF"/>
        <bgColor indexed="64"/>
      </patternFill>
    </fill>
    <fill>
      <patternFill patternType="solid">
        <fgColor rgb="FFFFF5EF"/>
        <bgColor indexed="64"/>
      </patternFill>
    </fill>
    <fill>
      <patternFill patternType="solid">
        <fgColor rgb="FFF0E8FC"/>
        <bgColor indexed="64"/>
      </patternFill>
    </fill>
    <fill>
      <patternFill patternType="solid">
        <fgColor rgb="FFEF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F7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/>
      <bottom style="medium">
        <color auto="1"/>
      </bottom>
      <diagonal/>
    </border>
    <border>
      <left style="thin">
        <color rgb="FF80808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/>
      <diagonal/>
    </border>
    <border>
      <left style="medium">
        <color auto="1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medium">
        <color auto="1"/>
      </left>
      <right/>
      <top style="medium">
        <color auto="1"/>
      </top>
      <bottom style="thin">
        <color rgb="FF80808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rgb="FF808080"/>
      </bottom>
      <diagonal/>
    </border>
    <border>
      <left/>
      <right style="medium">
        <color auto="1"/>
      </right>
      <top style="thin">
        <color rgb="FF80808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10" fillId="0" borderId="0">
      <protection locked="0"/>
    </xf>
    <xf numFmtId="0" fontId="11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/>
    </xf>
    <xf numFmtId="176" fontId="7" fillId="12" borderId="29" xfId="0" applyNumberFormat="1" applyFont="1" applyFill="1" applyBorder="1" applyAlignment="1">
      <alignment horizontal="center"/>
    </xf>
    <xf numFmtId="1" fontId="7" fillId="12" borderId="7" xfId="0" applyNumberFormat="1" applyFont="1" applyFill="1" applyBorder="1" applyAlignment="1">
      <alignment horizontal="center"/>
    </xf>
    <xf numFmtId="0" fontId="7" fillId="12" borderId="30" xfId="0" applyFont="1" applyFill="1" applyBorder="1" applyAlignment="1">
      <alignment horizontal="center"/>
    </xf>
    <xf numFmtId="0" fontId="9" fillId="14" borderId="29" xfId="0" applyFont="1" applyFill="1" applyBorder="1" applyAlignment="1">
      <alignment horizontal="center" vertical="center"/>
    </xf>
    <xf numFmtId="176" fontId="9" fillId="14" borderId="7" xfId="0" applyNumberFormat="1" applyFont="1" applyFill="1" applyBorder="1" applyAlignment="1">
      <alignment horizontal="center" vertical="center"/>
    </xf>
    <xf numFmtId="1" fontId="9" fillId="14" borderId="7" xfId="0" applyNumberFormat="1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176" fontId="0" fillId="15" borderId="7" xfId="0" applyNumberFormat="1" applyFill="1" applyBorder="1" applyAlignment="1">
      <alignment horizontal="center" vertical="center"/>
    </xf>
    <xf numFmtId="1" fontId="0" fillId="15" borderId="7" xfId="0" applyNumberForma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176" fontId="0" fillId="16" borderId="7" xfId="0" applyNumberFormat="1" applyFill="1" applyBorder="1" applyAlignment="1">
      <alignment horizontal="center" vertical="center"/>
    </xf>
    <xf numFmtId="1" fontId="0" fillId="16" borderId="7" xfId="0" applyNumberForma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176" fontId="0" fillId="17" borderId="7" xfId="0" applyNumberForma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176" fontId="0" fillId="14" borderId="7" xfId="0" applyNumberFormat="1" applyFill="1" applyBorder="1" applyAlignment="1">
      <alignment horizontal="center" vertical="center"/>
    </xf>
    <xf numFmtId="1" fontId="0" fillId="14" borderId="7" xfId="0" applyNumberFormat="1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176" fontId="0" fillId="18" borderId="7" xfId="0" applyNumberFormat="1" applyFill="1" applyBorder="1" applyAlignment="1">
      <alignment horizontal="center" vertical="center"/>
    </xf>
    <xf numFmtId="1" fontId="0" fillId="18" borderId="7" xfId="0" applyNumberFormat="1" applyFill="1" applyBorder="1" applyAlignment="1">
      <alignment horizontal="center" vertical="center"/>
    </xf>
    <xf numFmtId="0" fontId="0" fillId="18" borderId="30" xfId="0" applyFill="1" applyBorder="1" applyAlignment="1">
      <alignment horizontal="center" vertical="center"/>
    </xf>
    <xf numFmtId="0" fontId="0" fillId="17" borderId="6" xfId="0" applyFont="1" applyFill="1" applyBorder="1" applyAlignment="1">
      <alignment horizontal="center" vertical="center"/>
    </xf>
    <xf numFmtId="0" fontId="0" fillId="17" borderId="3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4" fillId="4" borderId="22" xfId="0" applyFont="1" applyFill="1" applyBorder="1" applyAlignment="1">
      <alignment horizontal="left" vertical="center" wrapText="1" indent="1"/>
    </xf>
    <xf numFmtId="0" fontId="4" fillId="4" borderId="23" xfId="0" applyFont="1" applyFill="1" applyBorder="1" applyAlignment="1">
      <alignment horizontal="left" vertical="center" wrapText="1" indent="1"/>
    </xf>
    <xf numFmtId="0" fontId="4" fillId="4" borderId="35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4" fillId="4" borderId="36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11" xfId="0" applyFont="1" applyFill="1" applyBorder="1" applyAlignment="1">
      <alignment horizontal="left" vertical="center" wrapText="1" indent="1"/>
    </xf>
    <xf numFmtId="0" fontId="4" fillId="4" borderId="37" xfId="0" applyFont="1" applyFill="1" applyBorder="1" applyAlignment="1">
      <alignment horizontal="left" vertical="center" wrapText="1" indent="1"/>
    </xf>
    <xf numFmtId="176" fontId="8" fillId="13" borderId="7" xfId="0" applyNumberFormat="1" applyFont="1" applyFill="1" applyBorder="1" applyAlignment="1">
      <alignment horizontal="center" vertical="center"/>
    </xf>
    <xf numFmtId="1" fontId="8" fillId="13" borderId="7" xfId="0" applyNumberFormat="1" applyFont="1" applyFill="1" applyBorder="1" applyAlignment="1">
      <alignment horizontal="center" vertical="center"/>
    </xf>
    <xf numFmtId="0" fontId="8" fillId="13" borderId="3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2"/>
    </xf>
    <xf numFmtId="0" fontId="6" fillId="0" borderId="20" xfId="0" applyFont="1" applyBorder="1" applyAlignment="1">
      <alignment horizontal="left" vertical="center" indent="2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indent="1"/>
    </xf>
    <xf numFmtId="0" fontId="5" fillId="10" borderId="7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indent="1"/>
    </xf>
    <xf numFmtId="0" fontId="5" fillId="6" borderId="7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</cellXfs>
  <cellStyles count="3">
    <cellStyle name="Normal" xfId="0" builtinId="0"/>
    <cellStyle name="常规 2" xfId="2" xr:uid="{00000000-0005-0000-0000-000032000000}"/>
    <cellStyle name="一般 2" xfId="1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372133</xdr:colOff>
      <xdr:row>23</xdr:row>
      <xdr:rowOff>206374</xdr:rowOff>
    </xdr:from>
    <xdr:to>
      <xdr:col>3</xdr:col>
      <xdr:colOff>644548</xdr:colOff>
      <xdr:row>29</xdr:row>
      <xdr:rowOff>55879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3485"/>
        <a:stretch>
          <a:fillRect/>
        </a:stretch>
      </xdr:blipFill>
      <xdr:spPr>
        <a:xfrm>
          <a:off x="372110" y="8238490"/>
          <a:ext cx="2215515" cy="2135505"/>
        </a:xfrm>
        <a:prstGeom prst="rect">
          <a:avLst/>
        </a:prstGeom>
      </xdr:spPr>
    </xdr:pic>
    <xdr:clientData/>
  </xdr:twoCellAnchor>
  <xdr:twoCellAnchor editAs="oneCell">
    <xdr:from>
      <xdr:col>4</xdr:col>
      <xdr:colOff>39700</xdr:colOff>
      <xdr:row>23</xdr:row>
      <xdr:rowOff>230188</xdr:rowOff>
    </xdr:from>
    <xdr:to>
      <xdr:col>6</xdr:col>
      <xdr:colOff>47955</xdr:colOff>
      <xdr:row>29</xdr:row>
      <xdr:rowOff>32068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259" t="3170" r="3099" b="4206"/>
        <a:stretch>
          <a:fillRect/>
        </a:stretch>
      </xdr:blipFill>
      <xdr:spPr>
        <a:xfrm>
          <a:off x="2630170" y="8262620"/>
          <a:ext cx="2072005" cy="2087880"/>
        </a:xfrm>
        <a:prstGeom prst="rect">
          <a:avLst/>
        </a:prstGeom>
      </xdr:spPr>
    </xdr:pic>
    <xdr:clientData/>
  </xdr:twoCellAnchor>
  <xdr:twoCellAnchor editAs="oneCell">
    <xdr:from>
      <xdr:col>6</xdr:col>
      <xdr:colOff>79383</xdr:colOff>
      <xdr:row>23</xdr:row>
      <xdr:rowOff>277818</xdr:rowOff>
    </xdr:from>
    <xdr:to>
      <xdr:col>8</xdr:col>
      <xdr:colOff>833128</xdr:colOff>
      <xdr:row>29</xdr:row>
      <xdr:rowOff>18738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3925" y="8310245"/>
          <a:ext cx="2049145" cy="20269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26361;&#24605;&#22025;\Documents\Tencent%20Files\384009605\FileRecv\s9&#27873;&#31105;&#22806;&#20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泡ssp"/>
      <sheetName val="泡"/>
    </sheetNames>
    <sheetDataSet>
      <sheetData sheetId="0" refreshError="1"/>
      <sheetData sheetId="1" refreshError="1">
        <row r="1">
          <cell r="C1" t="str">
            <v>歌名</v>
          </cell>
          <cell r="D1" t="str">
            <v>cb1</v>
          </cell>
          <cell r="E1" t="str">
            <v>描述一</v>
          </cell>
          <cell r="F1" t="str">
            <v>cb2</v>
          </cell>
          <cell r="G1" t="str">
            <v>描述二</v>
          </cell>
          <cell r="H1" t="str">
            <v>单排cb</v>
          </cell>
          <cell r="I1" t="str">
            <v>单排技能</v>
          </cell>
          <cell r="J1" t="str">
            <v>描述</v>
          </cell>
          <cell r="K1" t="str">
            <v>半cb</v>
          </cell>
        </row>
        <row r="2">
          <cell r="C2" t="str">
            <v>じゃあね</v>
          </cell>
          <cell r="D2" t="str">
            <v>A143</v>
          </cell>
          <cell r="E2" t="str">
            <v>A：左手4号单点
E：左手12单点</v>
          </cell>
          <cell r="F2" t="str">
            <v>B254</v>
          </cell>
          <cell r="G2" t="str">
            <v>B：左手1单点
E：左手9单点</v>
          </cell>
          <cell r="H2" t="str">
            <v>A143</v>
          </cell>
          <cell r="I2" t="str">
            <v>爆气</v>
          </cell>
          <cell r="J2" t="str">
            <v>A：左手4号单点
E：左手12单点</v>
          </cell>
          <cell r="K2">
            <v>184</v>
          </cell>
        </row>
        <row r="3">
          <cell r="C3" t="str">
            <v>パラボラ</v>
          </cell>
          <cell r="D3" t="str">
            <v>B197</v>
          </cell>
          <cell r="E3" t="str">
            <v>B：左手9单点接蓝条
E：左手单点</v>
          </cell>
          <cell r="F3" t="str">
            <v>B246</v>
          </cell>
          <cell r="G3" t="str">
            <v>B：左手1单点
E：左手绿条</v>
          </cell>
          <cell r="H3" t="str">
            <v>B246</v>
          </cell>
          <cell r="I3" t="str">
            <v>爆气</v>
          </cell>
          <cell r="J3" t="str">
            <v>B：左手1单点
E：左手绿条</v>
          </cell>
          <cell r="K3">
            <v>175</v>
          </cell>
        </row>
        <row r="4">
          <cell r="C4" t="str">
            <v>ボタン</v>
          </cell>
          <cell r="D4" t="str">
            <v>B353</v>
          </cell>
          <cell r="E4" t="str">
            <v>B：右上2号球
E：左上12号绿条开头</v>
          </cell>
          <cell r="F4" t="str">
            <v>B444</v>
          </cell>
          <cell r="G4" t="str">
            <v>B：左上8号球
E：右下14号球</v>
          </cell>
          <cell r="H4" t="str">
            <v>B353</v>
          </cell>
          <cell r="I4" t="str">
            <v>极限</v>
          </cell>
          <cell r="J4" t="str">
            <v>B：右上2号球
E：左上12号绿条开头</v>
          </cell>
          <cell r="K4">
            <v>233</v>
          </cell>
        </row>
        <row r="5">
          <cell r="C5" t="str">
            <v>ソンナコトナイヨ</v>
          </cell>
          <cell r="D5" t="str">
            <v>A170</v>
          </cell>
          <cell r="E5" t="str">
            <v>A：右1号球
E：右上2号球</v>
          </cell>
          <cell r="F5" t="str">
            <v>B483</v>
          </cell>
          <cell r="G5" t="str">
            <v>B：左1号球
E：左上2号球</v>
          </cell>
          <cell r="H5" t="str">
            <v>B483</v>
          </cell>
          <cell r="I5" t="str">
            <v>极限</v>
          </cell>
          <cell r="J5" t="str">
            <v>B：左1号球
E：左上2号球</v>
          </cell>
          <cell r="K5">
            <v>311</v>
          </cell>
        </row>
        <row r="6">
          <cell r="C6" t="str">
            <v>オラシオン</v>
          </cell>
          <cell r="D6" t="str">
            <v>A155</v>
          </cell>
          <cell r="E6" t="str">
            <v>A：右下9号球
E：左上8号球</v>
          </cell>
          <cell r="F6" t="str">
            <v>B474</v>
          </cell>
          <cell r="G6" t="str">
            <v>B：左下9号球
E：右上8号球</v>
          </cell>
          <cell r="H6" t="str">
            <v>A155</v>
          </cell>
          <cell r="I6" t="str">
            <v>极限</v>
          </cell>
          <cell r="J6" t="str">
            <v>A：右下9号球
E：左上8号球</v>
          </cell>
          <cell r="K6">
            <v>305</v>
          </cell>
        </row>
        <row r="7">
          <cell r="C7" t="str">
            <v>アネモネ</v>
          </cell>
          <cell r="D7" t="str">
            <v>A294</v>
          </cell>
          <cell r="E7" t="str">
            <v>A：左手2号蓝条
E：右下3号球</v>
          </cell>
          <cell r="F7" t="str">
            <v>B540</v>
          </cell>
          <cell r="G7" t="str">
            <v>B：左手2号蓝条
E：右下3号球</v>
          </cell>
          <cell r="H7" t="str">
            <v>A294</v>
          </cell>
          <cell r="I7" t="str">
            <v>极限</v>
          </cell>
          <cell r="J7" t="str">
            <v>A：左手2号蓝条
E：右下3号球</v>
          </cell>
          <cell r="K7">
            <v>423</v>
          </cell>
        </row>
        <row r="8">
          <cell r="C8" t="str">
            <v>Break Up Song</v>
          </cell>
          <cell r="D8" t="str">
            <v>A241</v>
          </cell>
          <cell r="E8" t="str">
            <v>A：右手绿条后左手9开始四连点（存）
E：16号单点</v>
          </cell>
          <cell r="F8" t="str">
            <v>B338</v>
          </cell>
          <cell r="G8" t="str">
            <v>B：左手14号蓝条
E：上方14单点</v>
          </cell>
          <cell r="H8" t="str">
            <v>A230</v>
          </cell>
          <cell r="I8" t="str">
            <v>极限</v>
          </cell>
          <cell r="J8" t="str">
            <v>A：左手下方1开始五连点
E：16号单点</v>
          </cell>
          <cell r="K8">
            <v>266</v>
          </cell>
        </row>
        <row r="9">
          <cell r="C9" t="str">
            <v>赤诚年少</v>
          </cell>
          <cell r="D9" t="str">
            <v>A137</v>
          </cell>
          <cell r="E9" t="str">
            <v>A：15绿条后爆右下1开始连点
E：右中4号单点</v>
          </cell>
          <cell r="F9" t="str">
            <v>B322</v>
          </cell>
          <cell r="G9" t="str">
            <v>B：15绿条后爆左上开始连点
E：左中4单点</v>
          </cell>
          <cell r="H9" t="str">
            <v>A137</v>
          </cell>
          <cell r="I9" t="str">
            <v>极限</v>
          </cell>
          <cell r="J9" t="str">
            <v>A：15绿条后爆右下1开始连点
E：右中4号单点</v>
          </cell>
          <cell r="K9">
            <v>179</v>
          </cell>
        </row>
        <row r="10">
          <cell r="C10" t="str">
            <v>道听途说</v>
          </cell>
          <cell r="D10" t="str">
            <v>A116</v>
          </cell>
          <cell r="E10" t="str">
            <v>A：左下15绿条按住1cb（存）
E：18号右中单点，中场</v>
          </cell>
          <cell r="F10" t="str">
            <v>B217</v>
          </cell>
          <cell r="G10" t="str">
            <v>B：右6蓝条
E：左12单点</v>
          </cell>
          <cell r="H10" t="str">
            <v>B217</v>
          </cell>
          <cell r="I10" t="str">
            <v>爆气</v>
          </cell>
          <cell r="J10" t="str">
            <v>B：右6号蓝条
E：右10号蓝条中间</v>
          </cell>
          <cell r="K10">
            <v>144</v>
          </cell>
        </row>
        <row r="11">
          <cell r="C11" t="str">
            <v>迪士尼在逃公主</v>
          </cell>
          <cell r="D11" t="str">
            <v>A145</v>
          </cell>
          <cell r="E11" t="str">
            <v>A：右手5单点
E：左8单点</v>
          </cell>
          <cell r="F11" t="str">
            <v>B281</v>
          </cell>
          <cell r="G11" t="str">
            <v>B：右上5单点
E：右13单点</v>
          </cell>
          <cell r="H11" t="str">
            <v>A145</v>
          </cell>
          <cell r="I11" t="str">
            <v>极限</v>
          </cell>
          <cell r="J11" t="str">
            <v>A：右手5单点
E：左8单点</v>
          </cell>
          <cell r="K11">
            <v>191</v>
          </cell>
        </row>
        <row r="12">
          <cell r="C12" t="str">
            <v>复数的孤寂</v>
          </cell>
          <cell r="D12" t="str">
            <v>A66</v>
          </cell>
          <cell r="E12" t="str">
            <v>A：右上6单点
E：左下9单点</v>
          </cell>
          <cell r="F12" t="str">
            <v>B265</v>
          </cell>
          <cell r="G12" t="str">
            <v>B：下方往上8号二连点接绿条
E：左蓝条结束</v>
          </cell>
          <cell r="H12" t="str">
            <v>B265</v>
          </cell>
          <cell r="I12" t="str">
            <v>极限</v>
          </cell>
          <cell r="J12" t="str">
            <v>B：下方往上8号二连点接绿条
E：左蓝条结束</v>
          </cell>
          <cell r="K12">
            <v>223</v>
          </cell>
        </row>
        <row r="13">
          <cell r="C13" t="str">
            <v>给女孩</v>
          </cell>
          <cell r="D13" t="str">
            <v>B235</v>
          </cell>
          <cell r="E13" t="str">
            <v>B：右边1开始五连点
E：蓝条结束</v>
          </cell>
          <cell r="F13" t="str">
            <v>B328</v>
          </cell>
          <cell r="G13" t="str">
            <v>B：左手1开始三连点第三个
E：蓝条结束</v>
          </cell>
          <cell r="H13" t="str">
            <v>B328</v>
          </cell>
          <cell r="I13" t="str">
            <v>极限</v>
          </cell>
          <cell r="J13" t="str">
            <v>B：左手1开始三连点第三个
E：蓝条结束</v>
          </cell>
          <cell r="K13">
            <v>197</v>
          </cell>
        </row>
        <row r="14">
          <cell r="C14" t="str">
            <v>Grand Blue</v>
          </cell>
          <cell r="D14" t="str">
            <v>A121</v>
          </cell>
          <cell r="E14" t="str">
            <v>A：右手1开始四连点
E：右手9单点</v>
          </cell>
          <cell r="F14" t="str">
            <v>同左</v>
          </cell>
          <cell r="G14" t="str">
            <v>同左</v>
          </cell>
          <cell r="H14" t="str">
            <v>A128</v>
          </cell>
          <cell r="I14" t="str">
            <v>爆气</v>
          </cell>
          <cell r="J14" t="str">
            <v>A：左上8单点
E：左上二连点</v>
          </cell>
          <cell r="K14">
            <v>188</v>
          </cell>
        </row>
        <row r="15">
          <cell r="C15" t="str">
            <v>后来遇见他</v>
          </cell>
          <cell r="D15" t="str">
            <v>A116</v>
          </cell>
          <cell r="E15" t="str">
            <v>A：左下2号单点（存）
E：左三连点</v>
          </cell>
          <cell r="F15" t="str">
            <v>B232</v>
          </cell>
          <cell r="G15" t="str">
            <v>B：左边往下1开始三连点
E：右边5单点</v>
          </cell>
          <cell r="H15" t="str">
            <v>B231</v>
          </cell>
          <cell r="I15" t="str">
            <v>爆气</v>
          </cell>
          <cell r="J15" t="str">
            <v>B：229绿条按住2cb
E：蓝条结束</v>
          </cell>
          <cell r="K15">
            <v>135</v>
          </cell>
        </row>
        <row r="16">
          <cell r="C16" t="str">
            <v>花香</v>
          </cell>
          <cell r="D16" t="str">
            <v>B193</v>
          </cell>
          <cell r="E16" t="str">
            <v>B：右手5绿条按住1cb
E：右下单点</v>
          </cell>
          <cell r="F16" t="str">
            <v>B244</v>
          </cell>
          <cell r="G16" t="str">
            <v>B：右1绿条按住1cb
E：中6单点</v>
          </cell>
          <cell r="H16" t="str">
            <v>B244</v>
          </cell>
          <cell r="I16" t="str">
            <v>爆气</v>
          </cell>
          <cell r="J16" t="str">
            <v>B：右1绿条按住1cb
E：中6单点</v>
          </cell>
          <cell r="K16">
            <v>171</v>
          </cell>
        </row>
        <row r="17">
          <cell r="C17" t="str">
            <v>火红的萨日朗</v>
          </cell>
          <cell r="D17" t="str">
            <v>A130</v>
          </cell>
          <cell r="E17" t="str">
            <v>A：左上角8开始三联点
E：左下三联点</v>
          </cell>
          <cell r="F17" t="str">
            <v>B202</v>
          </cell>
          <cell r="G17" t="str">
            <v>B：7右手从下往上蓝条
E：下方连点</v>
          </cell>
          <cell r="H17" t="str">
            <v>B202</v>
          </cell>
          <cell r="I17" t="str">
            <v>极限</v>
          </cell>
          <cell r="J17" t="str">
            <v>B：7右手从下往上蓝条
E：下方连点</v>
          </cell>
          <cell r="K17">
            <v>193</v>
          </cell>
        </row>
        <row r="18">
          <cell r="C18" t="str">
            <v>还是放不下</v>
          </cell>
          <cell r="D18" t="str">
            <v>A137</v>
          </cell>
          <cell r="E18" t="str">
            <v>A：右手1开始三连点
E：右手4单点</v>
          </cell>
          <cell r="F18" t="str">
            <v>B249</v>
          </cell>
          <cell r="G18" t="str">
            <v>B：左下9开始三连点
E：右手6单点</v>
          </cell>
          <cell r="H18" t="str">
            <v>B249</v>
          </cell>
          <cell r="I18" t="str">
            <v>爆气</v>
          </cell>
          <cell r="J18" t="str">
            <v>B：左下9开始三连点
E：右手6单点</v>
          </cell>
          <cell r="K18">
            <v>121</v>
          </cell>
        </row>
        <row r="19">
          <cell r="C19" t="str">
            <v>Happy Now</v>
          </cell>
          <cell r="D19" t="str">
            <v>A70</v>
          </cell>
          <cell r="E19" t="str">
            <v>A：中下6号球
E：右2号球</v>
          </cell>
          <cell r="F19" t="str">
            <v>B277</v>
          </cell>
          <cell r="G19" t="str">
            <v>B：中下6号球
E：右2号球</v>
          </cell>
          <cell r="H19" t="str">
            <v>B277</v>
          </cell>
          <cell r="I19" t="str">
            <v>爆气</v>
          </cell>
          <cell r="J19" t="str">
            <v>B：中下6号球
E：右2号球</v>
          </cell>
          <cell r="K19">
            <v>196</v>
          </cell>
        </row>
        <row r="20">
          <cell r="C20" t="str">
            <v>Hold You Tonight</v>
          </cell>
          <cell r="D20" t="str">
            <v>B204</v>
          </cell>
          <cell r="E20" t="str">
            <v>B：右下角9号球
E：右上角14号球</v>
          </cell>
          <cell r="F20" t="str">
            <v>B432</v>
          </cell>
          <cell r="G20" t="str">
            <v>B：左上角9号球
E：左下角14号球</v>
          </cell>
          <cell r="H20" t="str">
            <v>B432</v>
          </cell>
          <cell r="I20" t="str">
            <v>极限</v>
          </cell>
          <cell r="J20" t="str">
            <v>B：左上角9号球
E：左下角14号球</v>
          </cell>
          <cell r="K20">
            <v>252</v>
          </cell>
        </row>
        <row r="21">
          <cell r="C21" t="str">
            <v>Louder Now</v>
          </cell>
          <cell r="D21" t="str">
            <v>B213</v>
          </cell>
          <cell r="E21" t="str">
            <v>B：右手1开始5连点
E：左手2单点</v>
          </cell>
          <cell r="F21" t="str">
            <v>B290</v>
          </cell>
          <cell r="G21" t="str">
            <v>B：左下3蓝条
E：右手4蓝条</v>
          </cell>
          <cell r="H21" t="str">
            <v>B290</v>
          </cell>
          <cell r="I21" t="str">
            <v>极限</v>
          </cell>
          <cell r="J21" t="str">
            <v>B：左下3蓝条
E：右手4蓝条</v>
          </cell>
          <cell r="K21">
            <v>195</v>
          </cell>
        </row>
        <row r="22">
          <cell r="C22" t="str">
            <v>那年秋天</v>
          </cell>
          <cell r="D22" t="str">
            <v>A173</v>
          </cell>
          <cell r="E22" t="str">
            <v>A：左手7蓝条（存）
E：左手单点</v>
          </cell>
          <cell r="F22" t="str">
            <v>B216</v>
          </cell>
          <cell r="G22" t="str">
            <v>B：右手2开始四连点
E：左手1单点</v>
          </cell>
          <cell r="H22" t="str">
            <v>B318</v>
          </cell>
          <cell r="I22" t="str">
            <v>极限</v>
          </cell>
          <cell r="J22" t="str">
            <v>B：左上7单点
E：左手四连点</v>
          </cell>
          <cell r="K22">
            <v>180</v>
          </cell>
        </row>
        <row r="23">
          <cell r="C23" t="str">
            <v>Need for Speed</v>
          </cell>
          <cell r="D23" t="str">
            <v>A205</v>
          </cell>
          <cell r="E23" t="str">
            <v>A：右下角5号球
E：左8号蓝条吃完</v>
          </cell>
          <cell r="F23" t="str">
            <v>B452</v>
          </cell>
          <cell r="G23" t="str">
            <v>B：右下角5号球
E：左8号蓝条吃完</v>
          </cell>
          <cell r="H23" t="str">
            <v>A205</v>
          </cell>
          <cell r="I23" t="str">
            <v>极限</v>
          </cell>
          <cell r="J23" t="str">
            <v>A：右下角5号球
E：左8号蓝条吃完</v>
          </cell>
          <cell r="K23">
            <v>257</v>
          </cell>
        </row>
        <row r="24">
          <cell r="C24" t="str">
            <v>ONE&amp;ONLY</v>
          </cell>
          <cell r="D24" t="str">
            <v>B228</v>
          </cell>
          <cell r="E24" t="str">
            <v>B：左上2号球
E：左9号球</v>
          </cell>
          <cell r="F24" t="str">
            <v>B313</v>
          </cell>
          <cell r="G24" t="str">
            <v>B：右上10号蓝条
E：中间4号球</v>
          </cell>
          <cell r="H24" t="str">
            <v>B228</v>
          </cell>
          <cell r="I24" t="str">
            <v>极限</v>
          </cell>
          <cell r="J24" t="str">
            <v>B：左上2号球
E：左9号球</v>
          </cell>
          <cell r="K24">
            <v>220</v>
          </cell>
        </row>
        <row r="25">
          <cell r="C25" t="str">
            <v>PARTY</v>
          </cell>
          <cell r="D25" t="str">
            <v>B143</v>
          </cell>
          <cell r="E25" t="str">
            <v>B：左手四连点第二个
E：左下三连点</v>
          </cell>
          <cell r="F25" t="str">
            <v>B192</v>
          </cell>
          <cell r="G25" t="str">
            <v>B：右手2开始四连点
E：左手蓝条</v>
          </cell>
          <cell r="H25" t="str">
            <v>B192</v>
          </cell>
          <cell r="I25" t="str">
            <v>爆气</v>
          </cell>
          <cell r="J25" t="str">
            <v>B：右手2开始四连点
E：左手蓝条</v>
          </cell>
          <cell r="K25">
            <v>96</v>
          </cell>
        </row>
        <row r="26">
          <cell r="C26" t="str">
            <v>Run Roit</v>
          </cell>
          <cell r="D26" t="str">
            <v>A111</v>
          </cell>
          <cell r="E26" t="str">
            <v>A：右手5蓝条
E：左手单点</v>
          </cell>
          <cell r="F26" t="str">
            <v>B356</v>
          </cell>
          <cell r="G26" t="str">
            <v>B：右手5蓝条
E：左手单点</v>
          </cell>
          <cell r="H26" t="str">
            <v>B356</v>
          </cell>
          <cell r="I26" t="str">
            <v>极限</v>
          </cell>
          <cell r="J26" t="str">
            <v>B：右手5蓝条
E：左手单点</v>
          </cell>
          <cell r="K26">
            <v>242</v>
          </cell>
        </row>
        <row r="27">
          <cell r="C27" t="str">
            <v>Sunshine, Lollipops and Rainbows</v>
          </cell>
          <cell r="D27" t="str">
            <v>A232</v>
          </cell>
          <cell r="E27" t="str">
            <v>A：左下2号球
E：右上5号蓝条吃完</v>
          </cell>
          <cell r="F27" t="str">
            <v>B545</v>
          </cell>
          <cell r="G27" t="str">
            <v>B：左4号蓝条
E：左下8号蓝条吃完</v>
          </cell>
          <cell r="H27" t="str">
            <v>A232</v>
          </cell>
          <cell r="I27" t="str">
            <v>极限</v>
          </cell>
          <cell r="J27" t="str">
            <v>A：左下2号球
E：右上5号蓝条吃完</v>
          </cell>
          <cell r="K27">
            <v>287</v>
          </cell>
        </row>
        <row r="28">
          <cell r="C28" t="str">
            <v>Take  It Off</v>
          </cell>
          <cell r="D28" t="str">
            <v>A62</v>
          </cell>
          <cell r="E28" t="str">
            <v>A：右下4开始三连点
E：右手蓝条</v>
          </cell>
          <cell r="F28" t="str">
            <v>B218</v>
          </cell>
          <cell r="G28" t="str">
            <v>B：左手4开始三连点
E：左手蓝条</v>
          </cell>
          <cell r="H28" t="str">
            <v>B218</v>
          </cell>
          <cell r="I28" t="str">
            <v>爆气</v>
          </cell>
          <cell r="J28" t="str">
            <v>B：左手4开始三连点
E：左手蓝条</v>
          </cell>
          <cell r="K28">
            <v>143</v>
          </cell>
        </row>
        <row r="29">
          <cell r="C29" t="str">
            <v>Why do u say (Feat. MOON, ASH ISLAND)</v>
          </cell>
          <cell r="D29" t="str">
            <v>A195</v>
          </cell>
          <cell r="E29" t="str">
            <v>A：右上1号球（存）
E：左5号球，中场</v>
          </cell>
          <cell r="F29" t="str">
            <v>B211</v>
          </cell>
          <cell r="G29" t="str">
            <v>B：右上2号球
E：中间6号球</v>
          </cell>
          <cell r="H29" t="str">
            <v>B223</v>
          </cell>
          <cell r="I29" t="str">
            <v>极限</v>
          </cell>
          <cell r="J29" t="str">
            <v>B：右上2号球
E：左上2号球</v>
          </cell>
          <cell r="K29">
            <v>199</v>
          </cell>
        </row>
        <row r="30">
          <cell r="C30" t="str">
            <v>一起来</v>
          </cell>
          <cell r="D30" t="str">
            <v>A170</v>
          </cell>
          <cell r="E30" t="str">
            <v>A：左绿条后爆右下4单点（存）
E：左上角9单点</v>
          </cell>
          <cell r="F30" t="str">
            <v>B204</v>
          </cell>
          <cell r="G30" t="str">
            <v>B：左上8单点
E：左10绿条</v>
          </cell>
          <cell r="H30" t="str">
            <v>B214</v>
          </cell>
          <cell r="I30" t="str">
            <v>极限</v>
          </cell>
          <cell r="J30" t="str">
            <v>B：下方4单点
E：10绿条</v>
          </cell>
          <cell r="K30">
            <v>183</v>
          </cell>
        </row>
        <row r="31">
          <cell r="C31" t="str">
            <v>下山</v>
          </cell>
          <cell r="D31" t="str">
            <v>A205</v>
          </cell>
          <cell r="E31" t="str">
            <v>A：右手7单点（存）
E：左手10单点</v>
          </cell>
          <cell r="F31" t="str">
            <v>B360</v>
          </cell>
          <cell r="G31" t="str">
            <v>B：左上角5开始二连点
E：左手蓝条</v>
          </cell>
          <cell r="H31" t="str">
            <v>B189</v>
          </cell>
          <cell r="I31" t="str">
            <v>极限</v>
          </cell>
          <cell r="J31" t="str">
            <v>B：右手2-3连点
E：8单点</v>
          </cell>
          <cell r="K31">
            <v>222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N62"/>
  <sheetViews>
    <sheetView zoomScale="70" zoomScaleNormal="70" workbookViewId="0">
      <selection activeCell="N8" sqref="N8"/>
    </sheetView>
  </sheetViews>
  <sheetFormatPr defaultColWidth="9" defaultRowHeight="14.25" x14ac:dyDescent="0.2"/>
  <cols>
    <col min="1" max="4" width="8.5" customWidth="1"/>
    <col min="5" max="5" width="18.625" customWidth="1"/>
    <col min="6" max="8" width="8.5" customWidth="1"/>
    <col min="9" max="9" width="20.875" customWidth="1"/>
    <col min="10" max="10" width="12.875" style="2" customWidth="1"/>
    <col min="11" max="11" width="12.875" style="3" customWidth="1"/>
    <col min="12" max="12" width="17.5" style="4" customWidth="1"/>
    <col min="13" max="13" width="48.375" style="2" customWidth="1"/>
    <col min="14" max="1026" width="8.5" customWidth="1"/>
  </cols>
  <sheetData>
    <row r="1" spans="1:14" ht="15" customHeight="1" x14ac:dyDescent="0.2">
      <c r="A1" s="66" t="s">
        <v>0</v>
      </c>
      <c r="B1" s="66"/>
      <c r="C1" s="66"/>
      <c r="D1" s="66"/>
      <c r="E1" s="66"/>
      <c r="F1" s="66"/>
      <c r="G1" s="66"/>
      <c r="H1" s="66"/>
      <c r="I1" s="67"/>
      <c r="J1" s="70" t="s">
        <v>1</v>
      </c>
      <c r="K1" s="71"/>
      <c r="L1" s="71"/>
      <c r="M1" s="72"/>
    </row>
    <row r="2" spans="1:14" ht="29.1" customHeight="1" x14ac:dyDescent="0.2">
      <c r="A2" s="66"/>
      <c r="B2" s="66"/>
      <c r="C2" s="66"/>
      <c r="D2" s="66"/>
      <c r="E2" s="66"/>
      <c r="F2" s="66"/>
      <c r="G2" s="66"/>
      <c r="H2" s="66"/>
      <c r="I2" s="67"/>
      <c r="J2" s="73"/>
      <c r="K2" s="74"/>
      <c r="L2" s="74"/>
      <c r="M2" s="75"/>
    </row>
    <row r="3" spans="1:14" ht="27.6" customHeight="1" x14ac:dyDescent="0.25">
      <c r="A3" s="68"/>
      <c r="B3" s="68"/>
      <c r="C3" s="68"/>
      <c r="D3" s="68"/>
      <c r="E3" s="68"/>
      <c r="F3" s="68"/>
      <c r="G3" s="68"/>
      <c r="H3" s="68"/>
      <c r="I3" s="69"/>
      <c r="J3" s="12" t="s">
        <v>2</v>
      </c>
      <c r="K3" s="13" t="s">
        <v>3</v>
      </c>
      <c r="L3" s="14" t="s">
        <v>4</v>
      </c>
      <c r="M3" s="15" t="s">
        <v>5</v>
      </c>
    </row>
    <row r="4" spans="1:14" ht="17.100000000000001" customHeight="1" x14ac:dyDescent="0.2">
      <c r="A4" s="76" t="s">
        <v>6</v>
      </c>
      <c r="B4" s="77"/>
      <c r="C4" s="77"/>
      <c r="D4" s="77"/>
      <c r="E4" s="77"/>
      <c r="F4" s="77"/>
      <c r="G4" s="77"/>
      <c r="H4" s="77"/>
      <c r="I4" s="77"/>
      <c r="J4" s="80" t="s">
        <v>7</v>
      </c>
      <c r="K4" s="63">
        <v>20</v>
      </c>
      <c r="L4" s="64">
        <v>2903939382</v>
      </c>
      <c r="M4" s="65" t="s">
        <v>8</v>
      </c>
    </row>
    <row r="5" spans="1:14" ht="17.100000000000001" customHeight="1" x14ac:dyDescent="0.2">
      <c r="A5" s="78"/>
      <c r="B5" s="79"/>
      <c r="C5" s="79"/>
      <c r="D5" s="79"/>
      <c r="E5" s="79"/>
      <c r="F5" s="79"/>
      <c r="G5" s="79"/>
      <c r="H5" s="79"/>
      <c r="I5" s="79"/>
      <c r="J5" s="80"/>
      <c r="K5" s="63"/>
      <c r="L5" s="64"/>
      <c r="M5" s="65"/>
    </row>
    <row r="6" spans="1:14" ht="17.100000000000001" customHeight="1" x14ac:dyDescent="0.2">
      <c r="A6" s="78"/>
      <c r="B6" s="79"/>
      <c r="C6" s="79"/>
      <c r="D6" s="79"/>
      <c r="E6" s="79"/>
      <c r="F6" s="79"/>
      <c r="G6" s="79"/>
      <c r="H6" s="79"/>
      <c r="I6" s="79"/>
      <c r="J6" s="80"/>
      <c r="K6" s="63"/>
      <c r="L6" s="64"/>
      <c r="M6" s="65"/>
    </row>
    <row r="7" spans="1:14" ht="30" customHeight="1" x14ac:dyDescent="0.2">
      <c r="A7" s="112" t="s">
        <v>9</v>
      </c>
      <c r="B7" s="113"/>
      <c r="C7" s="113"/>
      <c r="D7" s="113"/>
      <c r="E7" s="113"/>
      <c r="F7" s="113"/>
      <c r="G7" s="113"/>
      <c r="H7" s="113"/>
      <c r="I7" s="114"/>
      <c r="J7" s="16" t="s">
        <v>10</v>
      </c>
      <c r="K7" s="17">
        <v>10</v>
      </c>
      <c r="L7" s="18">
        <v>1900406463</v>
      </c>
      <c r="M7" s="19" t="s">
        <v>11</v>
      </c>
      <c r="N7" s="20"/>
    </row>
    <row r="8" spans="1:14" ht="30" customHeight="1" x14ac:dyDescent="0.2">
      <c r="A8" s="81" t="s">
        <v>12</v>
      </c>
      <c r="B8" s="82"/>
      <c r="C8" s="82"/>
      <c r="D8" s="82"/>
      <c r="E8" s="82"/>
      <c r="F8" s="82"/>
      <c r="G8" s="82"/>
      <c r="H8" s="82"/>
      <c r="I8" s="83"/>
      <c r="J8" s="21" t="s">
        <v>13</v>
      </c>
      <c r="K8" s="22">
        <v>8.8000000000000007</v>
      </c>
      <c r="L8" s="23" t="s">
        <v>14</v>
      </c>
      <c r="M8" s="24" t="s">
        <v>15</v>
      </c>
      <c r="N8" s="2"/>
    </row>
    <row r="9" spans="1:14" ht="30" customHeight="1" x14ac:dyDescent="0.2">
      <c r="A9" s="81"/>
      <c r="B9" s="82"/>
      <c r="C9" s="82"/>
      <c r="D9" s="82"/>
      <c r="E9" s="82"/>
      <c r="F9" s="82"/>
      <c r="G9" s="82"/>
      <c r="H9" s="82"/>
      <c r="I9" s="83"/>
      <c r="J9" s="25" t="s">
        <v>16</v>
      </c>
      <c r="K9" s="26">
        <v>6.66</v>
      </c>
      <c r="L9" s="27">
        <v>747511784</v>
      </c>
      <c r="M9" s="28" t="s">
        <v>17</v>
      </c>
      <c r="N9" s="2"/>
    </row>
    <row r="10" spans="1:14" ht="30" customHeight="1" x14ac:dyDescent="0.2">
      <c r="A10" s="81"/>
      <c r="B10" s="82"/>
      <c r="C10" s="82"/>
      <c r="D10" s="82"/>
      <c r="E10" s="82"/>
      <c r="F10" s="82"/>
      <c r="G10" s="82"/>
      <c r="H10" s="82"/>
      <c r="I10" s="83"/>
      <c r="J10" s="29" t="s">
        <v>18</v>
      </c>
      <c r="K10" s="30">
        <v>6.66</v>
      </c>
      <c r="L10" s="31">
        <v>2116908548</v>
      </c>
      <c r="M10" s="32" t="s">
        <v>19</v>
      </c>
      <c r="N10" s="2"/>
    </row>
    <row r="11" spans="1:14" ht="30" customHeight="1" x14ac:dyDescent="0.2">
      <c r="A11" s="81"/>
      <c r="B11" s="82"/>
      <c r="C11" s="82"/>
      <c r="D11" s="82"/>
      <c r="E11" s="82"/>
      <c r="F11" s="82"/>
      <c r="G11" s="82"/>
      <c r="H11" s="82"/>
      <c r="I11" s="83"/>
      <c r="J11" s="25" t="s">
        <v>20</v>
      </c>
      <c r="K11" s="26">
        <v>6.66</v>
      </c>
      <c r="L11" s="27">
        <v>1747531373</v>
      </c>
      <c r="M11" s="28" t="s">
        <v>21</v>
      </c>
      <c r="N11" s="2"/>
    </row>
    <row r="12" spans="1:14" ht="30" customHeight="1" x14ac:dyDescent="0.2">
      <c r="A12" s="84"/>
      <c r="B12" s="85"/>
      <c r="C12" s="85"/>
      <c r="D12" s="85"/>
      <c r="E12" s="85"/>
      <c r="F12" s="85"/>
      <c r="G12" s="85"/>
      <c r="H12" s="85"/>
      <c r="I12" s="86"/>
      <c r="J12" s="33" t="s">
        <v>22</v>
      </c>
      <c r="K12" s="34">
        <v>6.6</v>
      </c>
      <c r="L12" s="35">
        <v>1391007035</v>
      </c>
      <c r="M12" s="36" t="s">
        <v>23</v>
      </c>
      <c r="N12" s="2"/>
    </row>
    <row r="13" spans="1:14" ht="30" customHeight="1" x14ac:dyDescent="0.2">
      <c r="A13" s="115" t="s">
        <v>24</v>
      </c>
      <c r="B13" s="116"/>
      <c r="C13" s="116"/>
      <c r="D13" s="116"/>
      <c r="E13" s="116"/>
      <c r="F13" s="116"/>
      <c r="G13" s="116"/>
      <c r="H13" s="116"/>
      <c r="I13" s="116"/>
      <c r="J13" s="37" t="s">
        <v>25</v>
      </c>
      <c r="K13" s="22">
        <v>5.2</v>
      </c>
      <c r="L13" s="23">
        <v>617973727</v>
      </c>
      <c r="M13" s="24" t="s">
        <v>26</v>
      </c>
      <c r="N13" s="2"/>
    </row>
    <row r="14" spans="1:14" ht="30" customHeight="1" x14ac:dyDescent="0.2">
      <c r="A14" s="5" t="s">
        <v>27</v>
      </c>
      <c r="B14" s="117" t="s">
        <v>28</v>
      </c>
      <c r="C14" s="117"/>
      <c r="D14" s="117"/>
      <c r="E14" s="117"/>
      <c r="F14" s="118" t="s">
        <v>29</v>
      </c>
      <c r="G14" s="118"/>
      <c r="H14" s="118"/>
      <c r="I14" s="119"/>
      <c r="J14" s="38" t="s">
        <v>30</v>
      </c>
      <c r="K14" s="39">
        <v>5.2</v>
      </c>
      <c r="L14" s="40" t="s">
        <v>14</v>
      </c>
      <c r="M14" s="41" t="s">
        <v>31</v>
      </c>
      <c r="N14" s="2"/>
    </row>
    <row r="15" spans="1:14" ht="30" customHeight="1" x14ac:dyDescent="0.2">
      <c r="A15" s="6" t="s">
        <v>32</v>
      </c>
      <c r="B15" s="120" t="s">
        <v>33</v>
      </c>
      <c r="C15" s="120"/>
      <c r="D15" s="120"/>
      <c r="E15" s="120"/>
      <c r="F15" s="121" t="s">
        <v>34</v>
      </c>
      <c r="G15" s="121"/>
      <c r="H15" s="121"/>
      <c r="I15" s="122"/>
      <c r="J15" s="42" t="s">
        <v>35</v>
      </c>
      <c r="K15" s="30">
        <v>5.2</v>
      </c>
      <c r="L15" s="31" t="s">
        <v>14</v>
      </c>
      <c r="M15" s="43" t="s">
        <v>36</v>
      </c>
    </row>
    <row r="16" spans="1:14" ht="30" customHeight="1" x14ac:dyDescent="0.2">
      <c r="A16" s="7" t="s">
        <v>37</v>
      </c>
      <c r="B16" s="105" t="s">
        <v>38</v>
      </c>
      <c r="C16" s="105"/>
      <c r="D16" s="105"/>
      <c r="E16" s="105"/>
      <c r="F16" s="106" t="s">
        <v>39</v>
      </c>
      <c r="G16" s="106"/>
      <c r="H16" s="106"/>
      <c r="I16" s="107"/>
      <c r="J16" s="44" t="s">
        <v>40</v>
      </c>
      <c r="K16" s="45">
        <v>5</v>
      </c>
      <c r="L16" s="46">
        <v>1060882109</v>
      </c>
      <c r="M16" s="47" t="s">
        <v>19</v>
      </c>
    </row>
    <row r="17" spans="1:13" ht="30" customHeight="1" x14ac:dyDescent="0.2">
      <c r="A17" s="8" t="s">
        <v>41</v>
      </c>
      <c r="B17" s="108" t="s">
        <v>42</v>
      </c>
      <c r="C17" s="108"/>
      <c r="D17" s="108"/>
      <c r="E17" s="108"/>
      <c r="F17" s="106" t="s">
        <v>43</v>
      </c>
      <c r="G17" s="106"/>
      <c r="H17" s="106"/>
      <c r="I17" s="107"/>
      <c r="J17" s="44" t="s">
        <v>44</v>
      </c>
      <c r="K17" s="45">
        <v>3</v>
      </c>
      <c r="L17" s="46">
        <v>1603474866</v>
      </c>
      <c r="M17" s="48" t="s">
        <v>19</v>
      </c>
    </row>
    <row r="18" spans="1:13" ht="30" customHeight="1" x14ac:dyDescent="0.2">
      <c r="A18" s="9" t="s">
        <v>45</v>
      </c>
      <c r="B18" s="109" t="s">
        <v>46</v>
      </c>
      <c r="C18" s="109"/>
      <c r="D18" s="109"/>
      <c r="E18" s="109"/>
      <c r="F18" s="110" t="s">
        <v>47</v>
      </c>
      <c r="G18" s="110"/>
      <c r="H18" s="110"/>
      <c r="I18" s="111"/>
      <c r="J18" s="44" t="s">
        <v>48</v>
      </c>
      <c r="K18" s="45">
        <v>2</v>
      </c>
      <c r="L18" s="46" t="s">
        <v>14</v>
      </c>
      <c r="M18" s="48" t="s">
        <v>49</v>
      </c>
    </row>
    <row r="19" spans="1:13" ht="30" customHeight="1" x14ac:dyDescent="0.2">
      <c r="A19" s="10" t="s">
        <v>50</v>
      </c>
      <c r="B19" s="97" t="s">
        <v>51</v>
      </c>
      <c r="C19" s="97"/>
      <c r="D19" s="97"/>
      <c r="E19" s="97"/>
      <c r="F19" s="98" t="s">
        <v>52</v>
      </c>
      <c r="G19" s="98"/>
      <c r="H19" s="98"/>
      <c r="I19" s="99"/>
      <c r="J19" s="44" t="s">
        <v>53</v>
      </c>
      <c r="K19" s="45">
        <v>1</v>
      </c>
      <c r="L19" s="46" t="s">
        <v>14</v>
      </c>
      <c r="M19" s="48"/>
    </row>
    <row r="20" spans="1:13" ht="30" customHeight="1" x14ac:dyDescent="0.2">
      <c r="A20" s="11" t="s">
        <v>54</v>
      </c>
      <c r="B20" s="100" t="s">
        <v>55</v>
      </c>
      <c r="C20" s="100"/>
      <c r="D20" s="100"/>
      <c r="E20" s="100"/>
      <c r="F20" s="101" t="s">
        <v>56</v>
      </c>
      <c r="G20" s="101"/>
      <c r="H20" s="101"/>
      <c r="I20" s="101"/>
      <c r="J20" s="49" t="s">
        <v>57</v>
      </c>
      <c r="K20" s="50">
        <v>0.66</v>
      </c>
      <c r="L20" s="51" t="s">
        <v>14</v>
      </c>
      <c r="M20" s="52"/>
    </row>
    <row r="21" spans="1:13" ht="30" customHeight="1" x14ac:dyDescent="0.2">
      <c r="A21" s="102" t="s">
        <v>58</v>
      </c>
      <c r="B21" s="103"/>
      <c r="C21" s="103"/>
      <c r="D21" s="103"/>
      <c r="E21" s="103"/>
      <c r="F21" s="103"/>
      <c r="G21" s="103"/>
      <c r="H21" s="103"/>
      <c r="I21" s="104"/>
    </row>
    <row r="22" spans="1:13" ht="30" customHeight="1" x14ac:dyDescent="0.2">
      <c r="A22" s="87" t="s">
        <v>59</v>
      </c>
      <c r="B22" s="88"/>
      <c r="C22" s="88"/>
      <c r="D22" s="88"/>
      <c r="E22" s="88"/>
      <c r="F22" s="88"/>
      <c r="G22" s="88"/>
      <c r="H22" s="88"/>
      <c r="I22" s="89"/>
    </row>
    <row r="23" spans="1:13" ht="30" customHeight="1" x14ac:dyDescent="0.2">
      <c r="A23" s="90"/>
      <c r="B23" s="91"/>
      <c r="C23" s="91"/>
      <c r="D23" s="91"/>
      <c r="E23" s="91"/>
      <c r="F23" s="91"/>
      <c r="G23" s="91"/>
      <c r="H23" s="91"/>
      <c r="I23" s="92"/>
    </row>
    <row r="24" spans="1:13" ht="30" customHeight="1" x14ac:dyDescent="0.2">
      <c r="A24" s="93" t="s">
        <v>60</v>
      </c>
      <c r="B24" s="94"/>
      <c r="C24" s="94"/>
      <c r="D24" s="94"/>
      <c r="E24" s="94"/>
      <c r="F24" s="94"/>
      <c r="G24" s="94"/>
      <c r="H24" s="94"/>
      <c r="I24" s="94"/>
    </row>
    <row r="25" spans="1:13" ht="30" customHeight="1" x14ac:dyDescent="0.2">
      <c r="A25" s="94"/>
      <c r="B25" s="94"/>
      <c r="C25" s="94"/>
      <c r="D25" s="94"/>
      <c r="E25" s="94"/>
      <c r="F25" s="94"/>
      <c r="G25" s="94"/>
      <c r="H25" s="94"/>
      <c r="I25" s="94"/>
    </row>
    <row r="26" spans="1:13" ht="30" customHeight="1" x14ac:dyDescent="0.2">
      <c r="A26" s="94"/>
      <c r="B26" s="94"/>
      <c r="C26" s="94"/>
      <c r="D26" s="94"/>
      <c r="E26" s="94"/>
      <c r="F26" s="94"/>
      <c r="G26" s="94"/>
      <c r="H26" s="94"/>
      <c r="I26" s="94"/>
    </row>
    <row r="27" spans="1:13" ht="30" customHeight="1" x14ac:dyDescent="0.2">
      <c r="A27" s="94"/>
      <c r="B27" s="94"/>
      <c r="C27" s="94"/>
      <c r="D27" s="94"/>
      <c r="E27" s="94"/>
      <c r="F27" s="94"/>
      <c r="G27" s="94"/>
      <c r="H27" s="94"/>
      <c r="I27" s="94"/>
    </row>
    <row r="28" spans="1:13" ht="30" customHeight="1" x14ac:dyDescent="0.2">
      <c r="A28" s="94"/>
      <c r="B28" s="94"/>
      <c r="C28" s="94"/>
      <c r="D28" s="94"/>
      <c r="E28" s="94"/>
      <c r="F28" s="94"/>
      <c r="G28" s="94"/>
      <c r="H28" s="94"/>
      <c r="I28" s="94"/>
    </row>
    <row r="29" spans="1:13" ht="30" customHeight="1" x14ac:dyDescent="0.2">
      <c r="A29" s="94"/>
      <c r="B29" s="94"/>
      <c r="C29" s="94"/>
      <c r="D29" s="94"/>
      <c r="E29" s="94"/>
      <c r="F29" s="94"/>
      <c r="G29" s="94"/>
      <c r="H29" s="94"/>
      <c r="I29" s="94"/>
    </row>
    <row r="30" spans="1:13" ht="30" customHeight="1" x14ac:dyDescent="0.2">
      <c r="A30" s="94"/>
      <c r="B30" s="94"/>
      <c r="C30" s="94"/>
      <c r="D30" s="94"/>
      <c r="E30" s="94"/>
      <c r="F30" s="94"/>
      <c r="G30" s="94"/>
      <c r="H30" s="94"/>
      <c r="I30" s="94"/>
    </row>
    <row r="31" spans="1:13" ht="30" customHeight="1" x14ac:dyDescent="0.2">
      <c r="A31" s="94"/>
      <c r="B31" s="94"/>
      <c r="C31" s="94"/>
      <c r="D31" s="94"/>
      <c r="E31" s="94"/>
      <c r="F31" s="94"/>
      <c r="G31" s="94"/>
      <c r="H31" s="94"/>
      <c r="I31" s="94"/>
    </row>
    <row r="32" spans="1:13" ht="35.25" customHeight="1" x14ac:dyDescent="0.2">
      <c r="A32" s="68" t="s">
        <v>61</v>
      </c>
      <c r="B32" s="68"/>
      <c r="C32" s="68"/>
      <c r="D32" s="68"/>
      <c r="E32" s="68"/>
      <c r="F32" s="68"/>
      <c r="G32" s="68"/>
      <c r="H32" s="68"/>
      <c r="I32" s="68"/>
    </row>
    <row r="33" spans="1:9" ht="30" customHeight="1" x14ac:dyDescent="0.2">
      <c r="A33" s="95" t="s">
        <v>62</v>
      </c>
      <c r="B33" s="95"/>
      <c r="C33" s="95"/>
      <c r="D33" s="95"/>
      <c r="E33" s="95"/>
      <c r="F33" s="95"/>
      <c r="G33" s="95"/>
      <c r="H33" s="95"/>
      <c r="I33" s="95"/>
    </row>
    <row r="34" spans="1:9" ht="30" customHeight="1" x14ac:dyDescent="0.2">
      <c r="A34" s="95"/>
      <c r="B34" s="95"/>
      <c r="C34" s="95"/>
      <c r="D34" s="95"/>
      <c r="E34" s="95"/>
      <c r="F34" s="95"/>
      <c r="G34" s="95"/>
      <c r="H34" s="95"/>
      <c r="I34" s="95"/>
    </row>
    <row r="35" spans="1:9" ht="30" customHeight="1" x14ac:dyDescent="0.2">
      <c r="A35" s="68" t="s">
        <v>63</v>
      </c>
      <c r="B35" s="68"/>
      <c r="C35" s="68"/>
      <c r="D35" s="68"/>
      <c r="E35" s="68"/>
      <c r="F35" s="68"/>
      <c r="G35" s="68"/>
      <c r="H35" s="68"/>
      <c r="I35" s="68"/>
    </row>
    <row r="36" spans="1:9" ht="30" customHeight="1" x14ac:dyDescent="0.2">
      <c r="A36" s="95" t="s">
        <v>64</v>
      </c>
      <c r="B36" s="95"/>
      <c r="C36" s="95"/>
      <c r="D36" s="95"/>
      <c r="E36" s="95"/>
      <c r="F36" s="95"/>
      <c r="G36" s="95"/>
      <c r="H36" s="95"/>
      <c r="I36" s="95"/>
    </row>
    <row r="37" spans="1:9" ht="30" customHeight="1" x14ac:dyDescent="0.2">
      <c r="A37" s="96"/>
      <c r="B37" s="96"/>
      <c r="C37" s="96"/>
      <c r="D37" s="96"/>
      <c r="E37" s="96"/>
      <c r="F37" s="96"/>
      <c r="G37" s="96"/>
      <c r="H37" s="96"/>
      <c r="I37" s="96"/>
    </row>
    <row r="38" spans="1:9" ht="30" customHeight="1" x14ac:dyDescent="0.2">
      <c r="A38" s="66" t="s">
        <v>65</v>
      </c>
      <c r="B38" s="66"/>
      <c r="C38" s="66"/>
      <c r="D38" s="66"/>
      <c r="E38" s="66"/>
      <c r="F38" s="66"/>
      <c r="G38" s="66"/>
      <c r="H38" s="66"/>
      <c r="I38" s="66"/>
    </row>
    <row r="39" spans="1:9" ht="30" customHeight="1" x14ac:dyDescent="0.2">
      <c r="A39" s="54" t="s">
        <v>66</v>
      </c>
      <c r="B39" s="55"/>
      <c r="C39" s="55"/>
      <c r="D39" s="55"/>
      <c r="E39" s="55"/>
      <c r="F39" s="55"/>
      <c r="G39" s="55"/>
      <c r="H39" s="55"/>
      <c r="I39" s="56"/>
    </row>
    <row r="40" spans="1:9" ht="30" customHeight="1" x14ac:dyDescent="0.2">
      <c r="A40" s="57"/>
      <c r="B40" s="58"/>
      <c r="C40" s="58"/>
      <c r="D40" s="58"/>
      <c r="E40" s="58"/>
      <c r="F40" s="58"/>
      <c r="G40" s="58"/>
      <c r="H40" s="58"/>
      <c r="I40" s="59"/>
    </row>
    <row r="41" spans="1:9" ht="30" customHeight="1" x14ac:dyDescent="0.2">
      <c r="A41" s="57"/>
      <c r="B41" s="58"/>
      <c r="C41" s="58"/>
      <c r="D41" s="58"/>
      <c r="E41" s="58"/>
      <c r="F41" s="58"/>
      <c r="G41" s="58"/>
      <c r="H41" s="58"/>
      <c r="I41" s="59"/>
    </row>
    <row r="42" spans="1:9" ht="30" customHeight="1" x14ac:dyDescent="0.2">
      <c r="A42" s="60"/>
      <c r="B42" s="61"/>
      <c r="C42" s="61"/>
      <c r="D42" s="61"/>
      <c r="E42" s="61"/>
      <c r="F42" s="61"/>
      <c r="G42" s="61"/>
      <c r="H42" s="61"/>
      <c r="I42" s="62"/>
    </row>
    <row r="43" spans="1:9" ht="30" customHeight="1" x14ac:dyDescent="0.2">
      <c r="A43" s="66" t="s">
        <v>67</v>
      </c>
      <c r="B43" s="66"/>
      <c r="C43" s="66"/>
      <c r="D43" s="66"/>
      <c r="E43" s="66"/>
      <c r="F43" s="66"/>
      <c r="G43" s="66"/>
      <c r="H43" s="66"/>
      <c r="I43" s="66"/>
    </row>
    <row r="44" spans="1:9" ht="30" customHeight="1" x14ac:dyDescent="0.2">
      <c r="A44" s="54" t="s">
        <v>68</v>
      </c>
      <c r="B44" s="55"/>
      <c r="C44" s="55"/>
      <c r="D44" s="55"/>
      <c r="E44" s="55"/>
      <c r="F44" s="55"/>
      <c r="G44" s="55"/>
      <c r="H44" s="55"/>
      <c r="I44" s="56"/>
    </row>
    <row r="45" spans="1:9" ht="30" customHeight="1" x14ac:dyDescent="0.2">
      <c r="A45" s="57"/>
      <c r="B45" s="58"/>
      <c r="C45" s="58"/>
      <c r="D45" s="58"/>
      <c r="E45" s="58"/>
      <c r="F45" s="58"/>
      <c r="G45" s="58"/>
      <c r="H45" s="58"/>
      <c r="I45" s="59"/>
    </row>
    <row r="46" spans="1:9" ht="30" customHeight="1" x14ac:dyDescent="0.2">
      <c r="A46" s="57"/>
      <c r="B46" s="58"/>
      <c r="C46" s="58"/>
      <c r="D46" s="58"/>
      <c r="E46" s="58"/>
      <c r="F46" s="58"/>
      <c r="G46" s="58"/>
      <c r="H46" s="58"/>
      <c r="I46" s="59"/>
    </row>
    <row r="47" spans="1:9" ht="30" customHeight="1" x14ac:dyDescent="0.2">
      <c r="A47" s="60"/>
      <c r="B47" s="61"/>
      <c r="C47" s="61"/>
      <c r="D47" s="61"/>
      <c r="E47" s="61"/>
      <c r="F47" s="61"/>
      <c r="G47" s="61"/>
      <c r="H47" s="61"/>
      <c r="I47" s="62"/>
    </row>
    <row r="48" spans="1:9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</sheetData>
  <mergeCells count="35">
    <mergeCell ref="A7:I7"/>
    <mergeCell ref="A13:I13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A36:I37"/>
    <mergeCell ref="A39:I42"/>
    <mergeCell ref="B19:E19"/>
    <mergeCell ref="F19:I19"/>
    <mergeCell ref="B20:E20"/>
    <mergeCell ref="F20:I20"/>
    <mergeCell ref="A21:I21"/>
    <mergeCell ref="A44:I47"/>
    <mergeCell ref="K4:K6"/>
    <mergeCell ref="L4:L6"/>
    <mergeCell ref="M4:M6"/>
    <mergeCell ref="A1:I3"/>
    <mergeCell ref="J1:M2"/>
    <mergeCell ref="A4:I6"/>
    <mergeCell ref="A32:I32"/>
    <mergeCell ref="A35:I35"/>
    <mergeCell ref="A38:I38"/>
    <mergeCell ref="A43:I43"/>
    <mergeCell ref="J4:J6"/>
    <mergeCell ref="A8:I12"/>
    <mergeCell ref="A22:I23"/>
    <mergeCell ref="A24:I31"/>
    <mergeCell ref="A33:I34"/>
  </mergeCells>
  <phoneticPr fontId="19" type="noConversion"/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9"/>
  <sheetViews>
    <sheetView tabSelected="1" topLeftCell="A91" workbookViewId="0">
      <selection activeCell="A95" sqref="A95:XFD95"/>
    </sheetView>
  </sheetViews>
  <sheetFormatPr defaultColWidth="8.625" defaultRowHeight="14.25" x14ac:dyDescent="0.2"/>
  <cols>
    <col min="1" max="3" width="8.625" style="1"/>
    <col min="4" max="4" width="22.25" style="1" customWidth="1"/>
    <col min="5" max="5" width="8.625" style="1"/>
    <col min="6" max="6" width="26.5" style="1" customWidth="1"/>
    <col min="7" max="7" width="8.625" style="1"/>
    <col min="8" max="8" width="23.875" style="1" customWidth="1"/>
    <col min="9" max="11" width="8.625" style="1"/>
    <col min="12" max="12" width="26.5" style="1" customWidth="1"/>
    <col min="13" max="16384" width="8.625" style="1"/>
  </cols>
  <sheetData>
    <row r="1" spans="1:13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 ht="28.5" x14ac:dyDescent="0.2">
      <c r="B2" s="1" t="s">
        <v>82</v>
      </c>
      <c r="C2" s="1">
        <v>6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87</v>
      </c>
      <c r="J2" s="1" t="s">
        <v>86</v>
      </c>
      <c r="K2" s="1" t="s">
        <v>88</v>
      </c>
      <c r="L2" s="1" t="s">
        <v>87</v>
      </c>
      <c r="M2" s="1">
        <v>325</v>
      </c>
    </row>
    <row r="3" spans="1:13" ht="28.5" x14ac:dyDescent="0.2">
      <c r="B3" s="1" t="s">
        <v>82</v>
      </c>
      <c r="C3" s="1">
        <v>6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J3" s="1" t="s">
        <v>92</v>
      </c>
      <c r="K3" s="1" t="s">
        <v>94</v>
      </c>
      <c r="L3" s="1" t="s">
        <v>93</v>
      </c>
      <c r="M3" s="1">
        <v>442</v>
      </c>
    </row>
    <row r="4" spans="1:13" ht="42.75" x14ac:dyDescent="0.2">
      <c r="B4" s="1" t="s">
        <v>82</v>
      </c>
      <c r="C4" s="1">
        <v>6</v>
      </c>
      <c r="D4" s="1" t="s">
        <v>95</v>
      </c>
      <c r="E4" s="1" t="s">
        <v>96</v>
      </c>
      <c r="F4" s="1" t="s">
        <v>97</v>
      </c>
      <c r="G4" s="1" t="s">
        <v>98</v>
      </c>
      <c r="H4" s="1" t="s">
        <v>99</v>
      </c>
      <c r="I4" s="1">
        <v>61</v>
      </c>
      <c r="J4" s="1" t="s">
        <v>96</v>
      </c>
      <c r="K4" s="1" t="s">
        <v>88</v>
      </c>
      <c r="L4" s="1" t="s">
        <v>97</v>
      </c>
      <c r="M4" s="1">
        <v>267</v>
      </c>
    </row>
    <row r="5" spans="1:13" ht="28.5" x14ac:dyDescent="0.2">
      <c r="B5" s="1" t="s">
        <v>82</v>
      </c>
      <c r="C5" s="1">
        <v>7</v>
      </c>
      <c r="D5" s="1" t="s">
        <v>100</v>
      </c>
      <c r="E5" s="1" t="s">
        <v>101</v>
      </c>
      <c r="F5" s="1" t="s">
        <v>102</v>
      </c>
      <c r="G5" s="1" t="s">
        <v>103</v>
      </c>
      <c r="H5" s="1" t="s">
        <v>104</v>
      </c>
      <c r="J5" s="1" t="s">
        <v>103</v>
      </c>
      <c r="K5" s="1" t="s">
        <v>88</v>
      </c>
      <c r="L5" s="1" t="s">
        <v>104</v>
      </c>
      <c r="M5" s="1">
        <v>402</v>
      </c>
    </row>
    <row r="6" spans="1:13" ht="42.75" x14ac:dyDescent="0.2">
      <c r="B6" s="1" t="s">
        <v>82</v>
      </c>
      <c r="C6" s="1">
        <v>9</v>
      </c>
      <c r="D6" s="1" t="s">
        <v>105</v>
      </c>
      <c r="E6" s="1" t="s">
        <v>106</v>
      </c>
      <c r="F6" s="1" t="s">
        <v>107</v>
      </c>
      <c r="G6" s="1" t="s">
        <v>108</v>
      </c>
      <c r="H6" s="1" t="s">
        <v>109</v>
      </c>
      <c r="J6" s="1" t="s">
        <v>110</v>
      </c>
      <c r="K6" s="1" t="s">
        <v>94</v>
      </c>
      <c r="L6" s="1" t="s">
        <v>111</v>
      </c>
      <c r="M6" s="1">
        <v>770</v>
      </c>
    </row>
    <row r="7" spans="1:13" ht="28.5" x14ac:dyDescent="0.2">
      <c r="B7" s="1" t="s">
        <v>82</v>
      </c>
      <c r="C7" s="1">
        <v>9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J7" s="1" t="s">
        <v>115</v>
      </c>
      <c r="K7" s="1" t="s">
        <v>94</v>
      </c>
      <c r="L7" s="1" t="s">
        <v>116</v>
      </c>
      <c r="M7" s="1">
        <v>588</v>
      </c>
    </row>
    <row r="8" spans="1:13" ht="57" x14ac:dyDescent="0.2">
      <c r="B8" s="1" t="s">
        <v>82</v>
      </c>
      <c r="C8" s="1">
        <v>9</v>
      </c>
      <c r="D8" s="1" t="s">
        <v>117</v>
      </c>
      <c r="E8" s="1" t="s">
        <v>118</v>
      </c>
      <c r="F8" s="1" t="s">
        <v>119</v>
      </c>
      <c r="G8" s="1" t="s">
        <v>120</v>
      </c>
      <c r="H8" s="1" t="s">
        <v>121</v>
      </c>
      <c r="I8" s="1">
        <v>103</v>
      </c>
      <c r="J8" s="1" t="s">
        <v>118</v>
      </c>
      <c r="K8" s="1" t="s">
        <v>94</v>
      </c>
      <c r="L8" s="1" t="s">
        <v>119</v>
      </c>
      <c r="M8" s="1">
        <v>420</v>
      </c>
    </row>
    <row r="9" spans="1:13" ht="42.75" x14ac:dyDescent="0.2">
      <c r="B9" s="1" t="s">
        <v>82</v>
      </c>
      <c r="C9" s="1">
        <v>9</v>
      </c>
      <c r="D9" s="1" t="s">
        <v>122</v>
      </c>
      <c r="E9" s="1" t="s">
        <v>123</v>
      </c>
      <c r="F9" s="1" t="s">
        <v>124</v>
      </c>
      <c r="G9" s="1" t="s">
        <v>125</v>
      </c>
      <c r="H9" s="1" t="s">
        <v>126</v>
      </c>
      <c r="I9" s="1">
        <v>72</v>
      </c>
      <c r="J9" s="1" t="s">
        <v>123</v>
      </c>
      <c r="K9" s="1" t="s">
        <v>94</v>
      </c>
      <c r="L9" s="1" t="s">
        <v>124</v>
      </c>
      <c r="M9" s="1">
        <v>395</v>
      </c>
    </row>
    <row r="10" spans="1:13" ht="42.75" x14ac:dyDescent="0.2">
      <c r="B10" s="1" t="s">
        <v>82</v>
      </c>
      <c r="C10" s="1">
        <v>10</v>
      </c>
      <c r="D10" s="1" t="s">
        <v>127</v>
      </c>
      <c r="E10" s="1" t="s">
        <v>128</v>
      </c>
      <c r="F10" s="1" t="s">
        <v>129</v>
      </c>
      <c r="G10" s="1" t="s">
        <v>130</v>
      </c>
      <c r="H10" s="1" t="s">
        <v>131</v>
      </c>
      <c r="J10" s="1" t="s">
        <v>128</v>
      </c>
      <c r="K10" s="1" t="s">
        <v>94</v>
      </c>
      <c r="L10" s="1" t="s">
        <v>129</v>
      </c>
      <c r="M10" s="1">
        <v>562</v>
      </c>
    </row>
    <row r="11" spans="1:13" ht="57" x14ac:dyDescent="0.2">
      <c r="B11" s="1" t="s">
        <v>82</v>
      </c>
      <c r="C11" s="1">
        <v>10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s">
        <v>136</v>
      </c>
      <c r="J11" s="1" t="s">
        <v>135</v>
      </c>
      <c r="K11" s="1" t="s">
        <v>94</v>
      </c>
      <c r="L11" s="1" t="s">
        <v>136</v>
      </c>
      <c r="M11" s="1">
        <v>636</v>
      </c>
    </row>
    <row r="12" spans="1:13" ht="57" x14ac:dyDescent="0.2">
      <c r="B12" s="1" t="s">
        <v>82</v>
      </c>
      <c r="C12" s="1">
        <v>10</v>
      </c>
      <c r="D12" s="1" t="s">
        <v>137</v>
      </c>
      <c r="E12" s="1" t="s">
        <v>138</v>
      </c>
      <c r="F12" s="1" t="s">
        <v>139</v>
      </c>
      <c r="G12" s="1" t="s">
        <v>140</v>
      </c>
      <c r="H12" s="1" t="s">
        <v>141</v>
      </c>
      <c r="I12" s="1">
        <v>121</v>
      </c>
      <c r="J12" s="1" t="s">
        <v>140</v>
      </c>
      <c r="K12" s="1" t="s">
        <v>94</v>
      </c>
      <c r="L12" s="1" t="s">
        <v>141</v>
      </c>
      <c r="M12" s="1">
        <v>568</v>
      </c>
    </row>
    <row r="13" spans="1:13" ht="42.75" x14ac:dyDescent="0.2">
      <c r="B13" s="1" t="s">
        <v>142</v>
      </c>
      <c r="C13" s="1">
        <v>6</v>
      </c>
      <c r="D13" s="1" t="s">
        <v>143</v>
      </c>
      <c r="E13" s="1" t="s">
        <v>144</v>
      </c>
      <c r="F13" s="1" t="s">
        <v>145</v>
      </c>
      <c r="G13" s="1" t="s">
        <v>146</v>
      </c>
      <c r="H13" s="1" t="s">
        <v>147</v>
      </c>
      <c r="I13" s="1">
        <v>74</v>
      </c>
      <c r="J13" s="1" t="s">
        <v>148</v>
      </c>
      <c r="K13" s="1" t="s">
        <v>88</v>
      </c>
      <c r="L13" s="1" t="s">
        <v>149</v>
      </c>
      <c r="M13" s="1">
        <v>255</v>
      </c>
    </row>
    <row r="14" spans="1:13" ht="42.75" x14ac:dyDescent="0.2">
      <c r="B14" s="1" t="s">
        <v>142</v>
      </c>
      <c r="C14" s="1">
        <v>6</v>
      </c>
      <c r="D14" s="1" t="s">
        <v>150</v>
      </c>
      <c r="E14" s="1" t="s">
        <v>151</v>
      </c>
      <c r="F14" s="53" t="s">
        <v>3174</v>
      </c>
      <c r="G14" s="1" t="s">
        <v>152</v>
      </c>
      <c r="H14" s="1" t="s">
        <v>153</v>
      </c>
      <c r="I14" s="1">
        <v>66</v>
      </c>
      <c r="J14" s="1" t="s">
        <v>151</v>
      </c>
      <c r="K14" s="1" t="s">
        <v>88</v>
      </c>
      <c r="L14" s="1" t="s">
        <v>154</v>
      </c>
      <c r="M14" s="1">
        <v>288</v>
      </c>
    </row>
    <row r="15" spans="1:13" ht="42.75" x14ac:dyDescent="0.2">
      <c r="B15" s="1" t="s">
        <v>142</v>
      </c>
      <c r="C15" s="1">
        <v>7</v>
      </c>
      <c r="D15" s="1" t="s">
        <v>155</v>
      </c>
      <c r="E15" s="1" t="s">
        <v>156</v>
      </c>
      <c r="F15" s="1" t="s">
        <v>157</v>
      </c>
      <c r="G15" s="1" t="s">
        <v>158</v>
      </c>
      <c r="H15" s="1" t="s">
        <v>159</v>
      </c>
      <c r="I15" s="1">
        <v>71</v>
      </c>
      <c r="J15" s="1" t="s">
        <v>158</v>
      </c>
      <c r="K15" s="1" t="s">
        <v>88</v>
      </c>
      <c r="L15" s="1" t="s">
        <v>159</v>
      </c>
      <c r="M15" s="1">
        <v>235</v>
      </c>
    </row>
    <row r="16" spans="1:13" ht="57" x14ac:dyDescent="0.2">
      <c r="A16" s="1" t="s">
        <v>160</v>
      </c>
      <c r="B16" s="1" t="s">
        <v>142</v>
      </c>
      <c r="C16" s="1">
        <v>8</v>
      </c>
      <c r="D16" s="1" t="s">
        <v>161</v>
      </c>
      <c r="E16" s="1" t="s">
        <v>162</v>
      </c>
      <c r="F16" s="1" t="s">
        <v>163</v>
      </c>
      <c r="G16" s="1" t="s">
        <v>162</v>
      </c>
      <c r="H16" s="1" t="s">
        <v>163</v>
      </c>
      <c r="I16" s="1">
        <v>150</v>
      </c>
      <c r="J16" s="1" t="s">
        <v>164</v>
      </c>
      <c r="K16" s="1" t="s">
        <v>88</v>
      </c>
      <c r="L16" s="1" t="s">
        <v>165</v>
      </c>
      <c r="M16" s="1">
        <v>297</v>
      </c>
    </row>
    <row r="17" spans="1:13" ht="57" x14ac:dyDescent="0.2">
      <c r="B17" s="1" t="s">
        <v>142</v>
      </c>
      <c r="C17" s="1">
        <v>8</v>
      </c>
      <c r="D17" s="1" t="s">
        <v>166</v>
      </c>
      <c r="E17" s="1" t="s">
        <v>167</v>
      </c>
      <c r="F17" s="1" t="s">
        <v>168</v>
      </c>
      <c r="G17" s="1" t="s">
        <v>169</v>
      </c>
      <c r="H17" s="1" t="s">
        <v>170</v>
      </c>
      <c r="I17" s="1">
        <v>95</v>
      </c>
      <c r="J17" s="1" t="s">
        <v>167</v>
      </c>
      <c r="K17" s="1" t="s">
        <v>88</v>
      </c>
      <c r="L17" s="1" t="s">
        <v>168</v>
      </c>
      <c r="M17" s="1">
        <v>389</v>
      </c>
    </row>
    <row r="18" spans="1:13" ht="57" x14ac:dyDescent="0.2">
      <c r="B18" s="1" t="s">
        <v>142</v>
      </c>
      <c r="C18" s="1">
        <v>9</v>
      </c>
      <c r="D18" s="1" t="s">
        <v>171</v>
      </c>
      <c r="E18" s="1" t="s">
        <v>172</v>
      </c>
      <c r="F18" s="1" t="s">
        <v>173</v>
      </c>
      <c r="G18" s="1" t="s">
        <v>174</v>
      </c>
      <c r="H18" s="1" t="s">
        <v>175</v>
      </c>
      <c r="I18" s="1">
        <v>0</v>
      </c>
      <c r="J18" s="1" t="s">
        <v>176</v>
      </c>
      <c r="K18" s="1" t="s">
        <v>88</v>
      </c>
      <c r="L18" s="1">
        <v>0</v>
      </c>
      <c r="M18" s="1">
        <v>456</v>
      </c>
    </row>
    <row r="19" spans="1:13" ht="42.75" x14ac:dyDescent="0.2">
      <c r="B19" s="1" t="s">
        <v>177</v>
      </c>
      <c r="C19" s="1">
        <v>6</v>
      </c>
      <c r="D19" s="1" t="s">
        <v>178</v>
      </c>
      <c r="E19" s="1" t="s">
        <v>179</v>
      </c>
      <c r="F19" s="1" t="s">
        <v>180</v>
      </c>
      <c r="G19" s="1" t="s">
        <v>181</v>
      </c>
      <c r="H19" s="1" t="s">
        <v>182</v>
      </c>
      <c r="I19" s="1">
        <v>67</v>
      </c>
      <c r="J19" s="1" t="s">
        <v>181</v>
      </c>
      <c r="K19" s="1" t="s">
        <v>94</v>
      </c>
      <c r="L19" s="1" t="s">
        <v>182</v>
      </c>
      <c r="M19" s="1">
        <v>417</v>
      </c>
    </row>
    <row r="20" spans="1:13" ht="42.75" x14ac:dyDescent="0.2">
      <c r="B20" s="1" t="s">
        <v>177</v>
      </c>
      <c r="C20" s="1">
        <v>6</v>
      </c>
      <c r="D20" s="1" t="s">
        <v>183</v>
      </c>
      <c r="E20" s="1" t="s">
        <v>184</v>
      </c>
      <c r="F20" s="1" t="s">
        <v>185</v>
      </c>
      <c r="G20" s="1" t="s">
        <v>186</v>
      </c>
      <c r="H20" s="1" t="s">
        <v>187</v>
      </c>
      <c r="I20" s="1">
        <v>77</v>
      </c>
      <c r="J20" s="1" t="s">
        <v>184</v>
      </c>
      <c r="K20" s="1" t="s">
        <v>94</v>
      </c>
      <c r="L20" s="1" t="s">
        <v>185</v>
      </c>
      <c r="M20" s="1">
        <v>457</v>
      </c>
    </row>
    <row r="21" spans="1:13" ht="57" x14ac:dyDescent="0.2">
      <c r="B21" s="1" t="s">
        <v>177</v>
      </c>
      <c r="C21" s="1">
        <v>6</v>
      </c>
      <c r="D21" s="1" t="s">
        <v>188</v>
      </c>
      <c r="E21" s="1" t="s">
        <v>189</v>
      </c>
      <c r="F21" s="1" t="s">
        <v>190</v>
      </c>
      <c r="G21" s="1" t="s">
        <v>169</v>
      </c>
      <c r="H21" s="1" t="s">
        <v>191</v>
      </c>
      <c r="I21" s="1">
        <v>69</v>
      </c>
      <c r="J21" s="1" t="s">
        <v>189</v>
      </c>
      <c r="K21" s="1" t="s">
        <v>94</v>
      </c>
      <c r="L21" s="1" t="s">
        <v>190</v>
      </c>
      <c r="M21" s="1">
        <v>345</v>
      </c>
    </row>
    <row r="22" spans="1:13" ht="57" x14ac:dyDescent="0.2">
      <c r="B22" s="1" t="s">
        <v>177</v>
      </c>
      <c r="C22" s="1">
        <v>6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>
        <v>70</v>
      </c>
      <c r="J22" s="1" t="s">
        <v>195</v>
      </c>
      <c r="K22" s="1" t="s">
        <v>88</v>
      </c>
      <c r="L22" s="1" t="s">
        <v>196</v>
      </c>
      <c r="M22" s="1">
        <v>269</v>
      </c>
    </row>
    <row r="23" spans="1:13" ht="57" x14ac:dyDescent="0.2">
      <c r="B23" s="1" t="s">
        <v>177</v>
      </c>
      <c r="C23" s="1">
        <v>6</v>
      </c>
      <c r="D23" s="1" t="s">
        <v>197</v>
      </c>
      <c r="E23" s="1" t="s">
        <v>198</v>
      </c>
      <c r="F23" s="1" t="s">
        <v>199</v>
      </c>
      <c r="G23" s="1" t="s">
        <v>200</v>
      </c>
      <c r="H23" s="1" t="s">
        <v>201</v>
      </c>
      <c r="I23" s="1">
        <v>78</v>
      </c>
      <c r="J23" s="1" t="s">
        <v>198</v>
      </c>
      <c r="K23" s="1" t="s">
        <v>88</v>
      </c>
      <c r="L23" s="1" t="s">
        <v>199</v>
      </c>
      <c r="M23" s="1">
        <v>244</v>
      </c>
    </row>
    <row r="24" spans="1:13" ht="42.75" x14ac:dyDescent="0.2">
      <c r="B24" s="1" t="s">
        <v>177</v>
      </c>
      <c r="C24" s="1">
        <v>6</v>
      </c>
      <c r="D24" s="1" t="s">
        <v>202</v>
      </c>
      <c r="E24" s="1" t="s">
        <v>203</v>
      </c>
      <c r="F24" s="1" t="s">
        <v>204</v>
      </c>
      <c r="G24" s="1" t="s">
        <v>205</v>
      </c>
      <c r="H24" s="1" t="s">
        <v>206</v>
      </c>
      <c r="I24" s="1">
        <v>78</v>
      </c>
      <c r="J24" s="1" t="s">
        <v>205</v>
      </c>
      <c r="K24" s="1" t="s">
        <v>88</v>
      </c>
      <c r="L24" s="1" t="s">
        <v>206</v>
      </c>
      <c r="M24" s="1">
        <v>253</v>
      </c>
    </row>
    <row r="25" spans="1:13" ht="57" x14ac:dyDescent="0.2">
      <c r="B25" s="1" t="s">
        <v>177</v>
      </c>
      <c r="C25" s="1">
        <v>6</v>
      </c>
      <c r="D25" s="1" t="s">
        <v>207</v>
      </c>
      <c r="E25" s="1" t="s">
        <v>208</v>
      </c>
      <c r="F25" s="1" t="s">
        <v>209</v>
      </c>
      <c r="G25" s="1" t="s">
        <v>210</v>
      </c>
      <c r="H25" s="1" t="s">
        <v>211</v>
      </c>
      <c r="I25" s="1">
        <v>64</v>
      </c>
      <c r="J25" s="1" t="s">
        <v>212</v>
      </c>
      <c r="K25" s="1" t="s">
        <v>88</v>
      </c>
      <c r="L25" s="1" t="s">
        <v>213</v>
      </c>
      <c r="M25" s="1">
        <v>252</v>
      </c>
    </row>
    <row r="26" spans="1:13" ht="42.75" x14ac:dyDescent="0.2">
      <c r="B26" s="1" t="s">
        <v>177</v>
      </c>
      <c r="C26" s="1">
        <v>6</v>
      </c>
      <c r="D26" s="1" t="s">
        <v>214</v>
      </c>
      <c r="E26" s="1" t="s">
        <v>215</v>
      </c>
      <c r="F26" s="1" t="s">
        <v>216</v>
      </c>
      <c r="G26" s="1" t="s">
        <v>217</v>
      </c>
      <c r="H26" s="1" t="s">
        <v>218</v>
      </c>
      <c r="I26" s="1">
        <v>62</v>
      </c>
      <c r="J26" s="1" t="s">
        <v>217</v>
      </c>
      <c r="K26" s="1" t="s">
        <v>219</v>
      </c>
      <c r="L26" s="1" t="s">
        <v>218</v>
      </c>
      <c r="M26" s="1">
        <v>268</v>
      </c>
    </row>
    <row r="27" spans="1:13" ht="57" x14ac:dyDescent="0.2">
      <c r="B27" s="1" t="s">
        <v>177</v>
      </c>
      <c r="C27" s="1">
        <v>6</v>
      </c>
      <c r="D27" s="1" t="s">
        <v>220</v>
      </c>
      <c r="E27" s="1" t="s">
        <v>221</v>
      </c>
      <c r="F27" s="1" t="s">
        <v>222</v>
      </c>
      <c r="G27" s="1" t="s">
        <v>223</v>
      </c>
      <c r="H27" s="1" t="s">
        <v>224</v>
      </c>
      <c r="I27" s="1">
        <v>56</v>
      </c>
      <c r="J27" s="1" t="s">
        <v>225</v>
      </c>
      <c r="K27" s="1" t="s">
        <v>219</v>
      </c>
      <c r="L27" s="1" t="s">
        <v>226</v>
      </c>
      <c r="M27" s="1">
        <v>284</v>
      </c>
    </row>
    <row r="28" spans="1:13" ht="42.75" x14ac:dyDescent="0.2">
      <c r="B28" s="1" t="s">
        <v>177</v>
      </c>
      <c r="C28" s="1">
        <v>6</v>
      </c>
      <c r="D28" s="1" t="s">
        <v>227</v>
      </c>
      <c r="E28" s="1" t="s">
        <v>228</v>
      </c>
      <c r="F28" s="1" t="s">
        <v>229</v>
      </c>
      <c r="G28" s="1" t="s">
        <v>230</v>
      </c>
      <c r="H28" s="1" t="s">
        <v>231</v>
      </c>
      <c r="I28" s="1">
        <v>70</v>
      </c>
      <c r="J28" s="1" t="s">
        <v>228</v>
      </c>
      <c r="K28" s="1" t="s">
        <v>88</v>
      </c>
      <c r="L28" s="1" t="s">
        <v>229</v>
      </c>
      <c r="M28" s="1">
        <v>348</v>
      </c>
    </row>
    <row r="29" spans="1:13" ht="42.75" x14ac:dyDescent="0.2">
      <c r="B29" s="1" t="s">
        <v>177</v>
      </c>
      <c r="C29" s="1">
        <v>6</v>
      </c>
      <c r="D29" s="1" t="s">
        <v>232</v>
      </c>
      <c r="E29" s="1" t="s">
        <v>233</v>
      </c>
      <c r="F29" s="1" t="s">
        <v>234</v>
      </c>
      <c r="G29" s="1" t="s">
        <v>235</v>
      </c>
      <c r="H29" s="1" t="s">
        <v>236</v>
      </c>
      <c r="I29" s="1">
        <v>72</v>
      </c>
      <c r="J29" s="1" t="s">
        <v>235</v>
      </c>
      <c r="K29" s="1" t="s">
        <v>88</v>
      </c>
      <c r="L29" s="1" t="s">
        <v>237</v>
      </c>
      <c r="M29" s="1">
        <v>294</v>
      </c>
    </row>
    <row r="30" spans="1:13" ht="42.75" x14ac:dyDescent="0.2">
      <c r="A30" s="1" t="s">
        <v>238</v>
      </c>
      <c r="B30" s="1" t="s">
        <v>177</v>
      </c>
      <c r="C30" s="1">
        <v>7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243</v>
      </c>
      <c r="I30" s="1">
        <v>70</v>
      </c>
      <c r="J30" s="1" t="s">
        <v>242</v>
      </c>
      <c r="K30" s="1" t="s">
        <v>94</v>
      </c>
      <c r="L30" s="1" t="s">
        <v>243</v>
      </c>
      <c r="M30" s="1">
        <v>504</v>
      </c>
    </row>
    <row r="31" spans="1:13" ht="42.75" x14ac:dyDescent="0.2">
      <c r="A31" s="1" t="s">
        <v>244</v>
      </c>
      <c r="B31" s="1" t="s">
        <v>177</v>
      </c>
      <c r="C31" s="1">
        <v>7</v>
      </c>
      <c r="D31" s="1" t="s">
        <v>245</v>
      </c>
      <c r="E31" s="1" t="s">
        <v>246</v>
      </c>
      <c r="F31" s="1" t="s">
        <v>247</v>
      </c>
      <c r="G31" s="1" t="s">
        <v>248</v>
      </c>
      <c r="H31" s="1" t="s">
        <v>249</v>
      </c>
      <c r="I31" s="1">
        <v>83</v>
      </c>
      <c r="J31" s="1" t="s">
        <v>248</v>
      </c>
      <c r="K31" s="1" t="s">
        <v>94</v>
      </c>
      <c r="L31" s="1" t="s">
        <v>249</v>
      </c>
      <c r="M31" s="1">
        <v>269</v>
      </c>
    </row>
    <row r="32" spans="1:13" ht="42.75" x14ac:dyDescent="0.2">
      <c r="B32" s="1" t="s">
        <v>177</v>
      </c>
      <c r="C32" s="1">
        <v>8</v>
      </c>
      <c r="D32" s="1" t="s">
        <v>250</v>
      </c>
      <c r="E32" s="1" t="s">
        <v>251</v>
      </c>
      <c r="F32" s="1" t="s">
        <v>252</v>
      </c>
      <c r="G32" s="1" t="s">
        <v>253</v>
      </c>
      <c r="H32" s="1" t="s">
        <v>254</v>
      </c>
      <c r="I32" s="1">
        <v>89</v>
      </c>
      <c r="J32" s="1" t="s">
        <v>251</v>
      </c>
      <c r="K32" s="1" t="s">
        <v>94</v>
      </c>
      <c r="L32" s="1" t="s">
        <v>252</v>
      </c>
      <c r="M32" s="1">
        <v>340</v>
      </c>
    </row>
    <row r="33" spans="2:14" ht="57" x14ac:dyDescent="0.2">
      <c r="B33" s="1" t="s">
        <v>177</v>
      </c>
      <c r="C33" s="1">
        <v>8</v>
      </c>
      <c r="D33" s="1" t="s">
        <v>255</v>
      </c>
      <c r="E33" s="1" t="s">
        <v>256</v>
      </c>
      <c r="F33" s="1" t="s">
        <v>257</v>
      </c>
      <c r="G33" s="1" t="s">
        <v>240</v>
      </c>
      <c r="H33" s="1" t="s">
        <v>258</v>
      </c>
      <c r="I33" s="1">
        <v>73</v>
      </c>
      <c r="J33" s="1" t="s">
        <v>259</v>
      </c>
      <c r="K33" s="1" t="s">
        <v>94</v>
      </c>
      <c r="L33" s="1" t="s">
        <v>260</v>
      </c>
      <c r="M33" s="1">
        <v>364</v>
      </c>
    </row>
    <row r="34" spans="2:14" ht="42.75" x14ac:dyDescent="0.2">
      <c r="B34" s="1" t="s">
        <v>177</v>
      </c>
      <c r="C34" s="1">
        <v>8</v>
      </c>
      <c r="D34" s="1" t="s">
        <v>261</v>
      </c>
      <c r="E34" s="1" t="s">
        <v>262</v>
      </c>
      <c r="F34" s="1" t="s">
        <v>263</v>
      </c>
      <c r="G34" s="1" t="s">
        <v>264</v>
      </c>
      <c r="H34" s="1" t="s">
        <v>265</v>
      </c>
      <c r="I34" s="1">
        <v>80</v>
      </c>
      <c r="J34" s="1" t="s">
        <v>262</v>
      </c>
      <c r="K34" s="1" t="s">
        <v>94</v>
      </c>
      <c r="L34" s="1" t="s">
        <v>263</v>
      </c>
      <c r="M34" s="1">
        <v>425</v>
      </c>
    </row>
    <row r="35" spans="2:14" ht="42.75" x14ac:dyDescent="0.2">
      <c r="B35" s="1" t="s">
        <v>177</v>
      </c>
      <c r="C35" s="1">
        <v>8</v>
      </c>
      <c r="D35" s="1" t="s">
        <v>266</v>
      </c>
      <c r="E35" s="1" t="s">
        <v>138</v>
      </c>
      <c r="F35" s="1" t="s">
        <v>267</v>
      </c>
      <c r="G35" s="1" t="s">
        <v>268</v>
      </c>
      <c r="H35" s="1" t="s">
        <v>269</v>
      </c>
      <c r="I35" s="1">
        <v>81</v>
      </c>
      <c r="J35" s="1" t="s">
        <v>270</v>
      </c>
      <c r="K35" s="1" t="s">
        <v>88</v>
      </c>
      <c r="L35" s="1" t="s">
        <v>271</v>
      </c>
      <c r="M35" s="1">
        <v>329</v>
      </c>
    </row>
    <row r="36" spans="2:14" ht="42.75" x14ac:dyDescent="0.2">
      <c r="B36" s="1" t="s">
        <v>177</v>
      </c>
      <c r="C36" s="1">
        <v>9</v>
      </c>
      <c r="D36" s="1" t="s">
        <v>272</v>
      </c>
      <c r="E36" s="1" t="s">
        <v>273</v>
      </c>
      <c r="F36" s="1" t="s">
        <v>274</v>
      </c>
      <c r="G36" s="1" t="s">
        <v>275</v>
      </c>
      <c r="H36" s="1" t="s">
        <v>276</v>
      </c>
      <c r="J36" s="1" t="s">
        <v>273</v>
      </c>
      <c r="K36" s="1" t="s">
        <v>94</v>
      </c>
      <c r="L36" s="1" t="s">
        <v>274</v>
      </c>
      <c r="M36" s="1">
        <v>513</v>
      </c>
    </row>
    <row r="37" spans="2:14" ht="42.75" x14ac:dyDescent="0.2">
      <c r="B37" s="1" t="s">
        <v>177</v>
      </c>
      <c r="C37" s="1">
        <v>9</v>
      </c>
      <c r="D37" s="1" t="s">
        <v>277</v>
      </c>
      <c r="E37" s="1" t="s">
        <v>278</v>
      </c>
      <c r="F37" s="1" t="s">
        <v>279</v>
      </c>
      <c r="G37" s="1" t="s">
        <v>280</v>
      </c>
      <c r="H37" s="1" t="s">
        <v>281</v>
      </c>
      <c r="I37" s="1">
        <v>0</v>
      </c>
      <c r="J37" s="1" t="s">
        <v>280</v>
      </c>
      <c r="K37" s="1" t="s">
        <v>94</v>
      </c>
      <c r="L37" s="1">
        <v>0</v>
      </c>
      <c r="M37" s="1">
        <v>427</v>
      </c>
    </row>
    <row r="38" spans="2:14" ht="57" x14ac:dyDescent="0.2">
      <c r="B38" s="1" t="s">
        <v>177</v>
      </c>
      <c r="C38" s="1">
        <v>9</v>
      </c>
      <c r="D38" s="1" t="s">
        <v>282</v>
      </c>
      <c r="E38" s="1" t="s">
        <v>140</v>
      </c>
      <c r="F38" s="1" t="s">
        <v>283</v>
      </c>
      <c r="G38" s="1" t="s">
        <v>284</v>
      </c>
      <c r="H38" s="1" t="s">
        <v>285</v>
      </c>
      <c r="I38" s="1">
        <v>105</v>
      </c>
      <c r="J38" s="1" t="s">
        <v>140</v>
      </c>
      <c r="K38" s="1" t="s">
        <v>94</v>
      </c>
      <c r="L38" s="1" t="s">
        <v>283</v>
      </c>
      <c r="M38" s="1">
        <v>643</v>
      </c>
    </row>
    <row r="39" spans="2:14" ht="28.5" x14ac:dyDescent="0.2">
      <c r="B39" s="1" t="s">
        <v>286</v>
      </c>
      <c r="C39" s="1">
        <v>7</v>
      </c>
      <c r="D39" s="1" t="s">
        <v>287</v>
      </c>
      <c r="E39" s="1" t="s">
        <v>288</v>
      </c>
      <c r="F39" s="1" t="s">
        <v>289</v>
      </c>
      <c r="G39" s="1" t="s">
        <v>290</v>
      </c>
      <c r="H39" s="1" t="s">
        <v>291</v>
      </c>
      <c r="J39" s="1" t="s">
        <v>288</v>
      </c>
      <c r="K39" s="1" t="s">
        <v>94</v>
      </c>
      <c r="L39" s="1" t="s">
        <v>289</v>
      </c>
      <c r="M39" s="1">
        <v>472</v>
      </c>
    </row>
    <row r="40" spans="2:14" ht="57" x14ac:dyDescent="0.2">
      <c r="B40" s="1" t="s">
        <v>286</v>
      </c>
      <c r="C40" s="1">
        <v>9</v>
      </c>
      <c r="D40" s="1" t="s">
        <v>292</v>
      </c>
      <c r="E40" s="1" t="s">
        <v>293</v>
      </c>
      <c r="F40" s="1" t="s">
        <v>294</v>
      </c>
      <c r="G40" s="1" t="s">
        <v>295</v>
      </c>
      <c r="H40" s="1" t="s">
        <v>296</v>
      </c>
      <c r="I40" s="1">
        <v>105</v>
      </c>
      <c r="J40" s="1" t="s">
        <v>297</v>
      </c>
      <c r="K40" s="1" t="s">
        <v>219</v>
      </c>
      <c r="L40" s="1" t="s">
        <v>298</v>
      </c>
      <c r="M40" s="1">
        <v>483</v>
      </c>
    </row>
    <row r="41" spans="2:14" ht="57" x14ac:dyDescent="0.2">
      <c r="B41" s="1" t="s">
        <v>286</v>
      </c>
      <c r="C41" s="1">
        <v>9</v>
      </c>
      <c r="D41" s="1" t="s">
        <v>299</v>
      </c>
      <c r="E41" s="1" t="s">
        <v>300</v>
      </c>
      <c r="F41" s="1" t="s">
        <v>301</v>
      </c>
      <c r="G41" s="1" t="s">
        <v>302</v>
      </c>
      <c r="H41" s="1" t="s">
        <v>303</v>
      </c>
      <c r="I41" s="1">
        <v>90</v>
      </c>
      <c r="J41" s="1" t="s">
        <v>304</v>
      </c>
      <c r="K41" s="1" t="s">
        <v>94</v>
      </c>
      <c r="L41" s="1" t="s">
        <v>305</v>
      </c>
      <c r="M41" s="1">
        <v>507</v>
      </c>
    </row>
    <row r="42" spans="2:14" ht="57" x14ac:dyDescent="0.2">
      <c r="B42" s="1" t="s">
        <v>286</v>
      </c>
      <c r="C42" s="1">
        <v>9</v>
      </c>
      <c r="D42" s="1" t="s">
        <v>306</v>
      </c>
      <c r="E42" s="1" t="s">
        <v>307</v>
      </c>
      <c r="F42" s="1" t="s">
        <v>308</v>
      </c>
      <c r="G42" s="1" t="s">
        <v>309</v>
      </c>
      <c r="H42" s="1" t="s">
        <v>310</v>
      </c>
      <c r="I42" s="1">
        <v>85</v>
      </c>
      <c r="J42" s="1" t="s">
        <v>309</v>
      </c>
      <c r="K42" s="1" t="s">
        <v>94</v>
      </c>
      <c r="L42" s="1" t="s">
        <v>310</v>
      </c>
      <c r="M42" s="1">
        <v>436</v>
      </c>
    </row>
    <row r="43" spans="2:14" ht="42.75" x14ac:dyDescent="0.2">
      <c r="B43" s="1" t="s">
        <v>286</v>
      </c>
      <c r="C43" s="1">
        <v>9</v>
      </c>
      <c r="D43" s="1" t="s">
        <v>311</v>
      </c>
      <c r="E43" s="1" t="s">
        <v>312</v>
      </c>
      <c r="F43" s="1" t="s">
        <v>313</v>
      </c>
      <c r="G43" s="1" t="s">
        <v>314</v>
      </c>
      <c r="H43" s="1" t="s">
        <v>315</v>
      </c>
      <c r="I43" s="1">
        <v>112</v>
      </c>
      <c r="J43" s="1" t="s">
        <v>312</v>
      </c>
      <c r="K43" s="1" t="s">
        <v>94</v>
      </c>
      <c r="L43" s="1" t="s">
        <v>313</v>
      </c>
      <c r="M43" s="1">
        <v>726</v>
      </c>
    </row>
    <row r="44" spans="2:14" ht="42.75" x14ac:dyDescent="0.2">
      <c r="B44" s="1" t="s">
        <v>286</v>
      </c>
      <c r="C44" s="1">
        <v>10</v>
      </c>
      <c r="D44" s="1" t="s">
        <v>316</v>
      </c>
      <c r="E44" s="1" t="s">
        <v>317</v>
      </c>
      <c r="F44" s="1" t="s">
        <v>318</v>
      </c>
      <c r="G44" s="1" t="s">
        <v>319</v>
      </c>
      <c r="H44" s="1" t="s">
        <v>320</v>
      </c>
      <c r="I44" s="1">
        <v>95</v>
      </c>
      <c r="J44" s="1" t="s">
        <v>319</v>
      </c>
      <c r="K44" s="1" t="s">
        <v>94</v>
      </c>
      <c r="L44" s="1" t="s">
        <v>320</v>
      </c>
      <c r="M44" s="1">
        <v>554</v>
      </c>
    </row>
    <row r="45" spans="2:14" ht="28.5" x14ac:dyDescent="0.2">
      <c r="B45" s="1" t="s">
        <v>321</v>
      </c>
      <c r="C45" s="1">
        <v>6</v>
      </c>
      <c r="D45" s="1" t="s">
        <v>322</v>
      </c>
      <c r="E45" s="1" t="s">
        <v>323</v>
      </c>
      <c r="F45" s="1" t="s">
        <v>324</v>
      </c>
      <c r="G45" s="1" t="s">
        <v>325</v>
      </c>
      <c r="H45" s="1" t="s">
        <v>326</v>
      </c>
      <c r="J45" s="1" t="s">
        <v>327</v>
      </c>
      <c r="K45" s="1" t="s">
        <v>94</v>
      </c>
      <c r="L45" s="1" t="s">
        <v>328</v>
      </c>
      <c r="M45" s="1">
        <v>365</v>
      </c>
    </row>
    <row r="46" spans="2:14" ht="28.5" x14ac:dyDescent="0.2">
      <c r="B46" s="1" t="s">
        <v>321</v>
      </c>
      <c r="C46" s="1">
        <v>6</v>
      </c>
      <c r="D46" s="1" t="s">
        <v>329</v>
      </c>
      <c r="E46" s="1" t="s">
        <v>330</v>
      </c>
      <c r="F46" s="1" t="s">
        <v>331</v>
      </c>
      <c r="G46" s="1" t="s">
        <v>332</v>
      </c>
      <c r="H46" s="1" t="s">
        <v>333</v>
      </c>
      <c r="J46" s="1" t="s">
        <v>332</v>
      </c>
      <c r="K46" s="1" t="s">
        <v>94</v>
      </c>
      <c r="L46" s="1" t="s">
        <v>333</v>
      </c>
      <c r="M46" s="1">
        <v>469</v>
      </c>
      <c r="N46" s="1" t="s">
        <v>334</v>
      </c>
    </row>
    <row r="47" spans="2:14" ht="57" x14ac:dyDescent="0.2">
      <c r="B47" s="1" t="s">
        <v>321</v>
      </c>
      <c r="C47" s="1">
        <v>7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339</v>
      </c>
      <c r="I47" s="1">
        <v>91</v>
      </c>
      <c r="J47" s="1" t="s">
        <v>338</v>
      </c>
      <c r="K47" s="1" t="s">
        <v>88</v>
      </c>
      <c r="L47" s="1" t="s">
        <v>339</v>
      </c>
      <c r="M47" s="1">
        <v>326</v>
      </c>
    </row>
    <row r="48" spans="2:14" ht="57" x14ac:dyDescent="0.2">
      <c r="B48" s="1" t="s">
        <v>321</v>
      </c>
      <c r="C48" s="1">
        <v>8</v>
      </c>
      <c r="D48" s="1" t="s">
        <v>340</v>
      </c>
      <c r="E48" s="1" t="s">
        <v>130</v>
      </c>
      <c r="F48" s="1" t="s">
        <v>341</v>
      </c>
      <c r="G48" s="1" t="s">
        <v>342</v>
      </c>
      <c r="H48" s="1" t="s">
        <v>343</v>
      </c>
      <c r="I48" s="1">
        <v>96</v>
      </c>
      <c r="J48" s="1" t="s">
        <v>130</v>
      </c>
      <c r="K48" s="1" t="s">
        <v>94</v>
      </c>
      <c r="L48" s="1" t="s">
        <v>344</v>
      </c>
      <c r="M48" s="1">
        <v>614</v>
      </c>
    </row>
    <row r="49" spans="2:13" ht="42.75" x14ac:dyDescent="0.2">
      <c r="B49" s="1" t="s">
        <v>321</v>
      </c>
      <c r="C49" s="1">
        <v>9</v>
      </c>
      <c r="D49" s="1" t="s">
        <v>345</v>
      </c>
      <c r="E49" s="1" t="s">
        <v>288</v>
      </c>
      <c r="F49" s="1" t="s">
        <v>346</v>
      </c>
      <c r="G49" s="1" t="s">
        <v>347</v>
      </c>
      <c r="H49" s="1" t="s">
        <v>348</v>
      </c>
      <c r="I49" s="1">
        <v>75</v>
      </c>
      <c r="J49" s="1" t="s">
        <v>347</v>
      </c>
      <c r="K49" s="1" t="s">
        <v>94</v>
      </c>
      <c r="L49" s="1" t="s">
        <v>348</v>
      </c>
      <c r="M49" s="1">
        <v>436</v>
      </c>
    </row>
    <row r="50" spans="2:13" ht="57" x14ac:dyDescent="0.2">
      <c r="B50" s="1" t="s">
        <v>321</v>
      </c>
      <c r="C50" s="1">
        <v>10</v>
      </c>
      <c r="D50" s="1" t="s">
        <v>349</v>
      </c>
      <c r="E50" s="1" t="s">
        <v>350</v>
      </c>
      <c r="F50" s="1" t="s">
        <v>351</v>
      </c>
      <c r="G50" s="1" t="s">
        <v>352</v>
      </c>
      <c r="H50" s="1" t="s">
        <v>353</v>
      </c>
      <c r="I50" s="1">
        <v>96</v>
      </c>
      <c r="J50" s="1" t="s">
        <v>354</v>
      </c>
      <c r="K50" s="1" t="s">
        <v>94</v>
      </c>
      <c r="L50" s="1" t="s">
        <v>355</v>
      </c>
      <c r="M50" s="1">
        <v>489</v>
      </c>
    </row>
    <row r="51" spans="2:13" ht="57" x14ac:dyDescent="0.2">
      <c r="B51" s="1" t="s">
        <v>321</v>
      </c>
      <c r="C51" s="1">
        <v>10</v>
      </c>
      <c r="D51" s="1" t="s">
        <v>356</v>
      </c>
      <c r="E51" s="1" t="s">
        <v>357</v>
      </c>
      <c r="F51" s="1" t="s">
        <v>358</v>
      </c>
      <c r="G51" s="1" t="s">
        <v>284</v>
      </c>
      <c r="H51" s="1" t="s">
        <v>359</v>
      </c>
      <c r="I51" s="1">
        <v>115</v>
      </c>
      <c r="J51" s="1" t="s">
        <v>360</v>
      </c>
      <c r="K51" s="1" t="s">
        <v>94</v>
      </c>
      <c r="L51" s="1" t="s">
        <v>361</v>
      </c>
      <c r="M51" s="1">
        <v>721</v>
      </c>
    </row>
    <row r="52" spans="2:13" ht="42.75" x14ac:dyDescent="0.2">
      <c r="B52" s="1" t="s">
        <v>362</v>
      </c>
      <c r="C52" s="1">
        <v>6</v>
      </c>
      <c r="D52" s="1" t="s">
        <v>363</v>
      </c>
      <c r="E52" s="1" t="s">
        <v>364</v>
      </c>
      <c r="F52" s="1" t="s">
        <v>365</v>
      </c>
      <c r="G52" s="1" t="s">
        <v>223</v>
      </c>
      <c r="H52" s="1" t="s">
        <v>366</v>
      </c>
      <c r="I52" s="1">
        <v>71</v>
      </c>
      <c r="J52" s="1" t="s">
        <v>364</v>
      </c>
      <c r="K52" s="1" t="s">
        <v>94</v>
      </c>
      <c r="L52" s="1" t="s">
        <v>365</v>
      </c>
      <c r="M52" s="1">
        <v>214</v>
      </c>
    </row>
    <row r="53" spans="2:13" ht="42.75" x14ac:dyDescent="0.2">
      <c r="B53" s="1" t="s">
        <v>362</v>
      </c>
      <c r="C53" s="1">
        <v>6</v>
      </c>
      <c r="D53" s="1" t="s">
        <v>367</v>
      </c>
      <c r="E53" s="1" t="s">
        <v>368</v>
      </c>
      <c r="F53" s="1" t="s">
        <v>369</v>
      </c>
      <c r="G53" s="1" t="s">
        <v>370</v>
      </c>
      <c r="H53" s="1" t="s">
        <v>371</v>
      </c>
      <c r="I53" s="1">
        <v>60</v>
      </c>
      <c r="J53" s="1" t="s">
        <v>372</v>
      </c>
      <c r="K53" s="1" t="s">
        <v>88</v>
      </c>
      <c r="L53" s="1" t="s">
        <v>373</v>
      </c>
      <c r="M53" s="1">
        <v>398</v>
      </c>
    </row>
    <row r="54" spans="2:13" ht="42.75" x14ac:dyDescent="0.2">
      <c r="B54" s="1" t="s">
        <v>362</v>
      </c>
      <c r="C54" s="1">
        <v>8</v>
      </c>
      <c r="D54" s="1" t="s">
        <v>374</v>
      </c>
      <c r="E54" s="1" t="s">
        <v>375</v>
      </c>
      <c r="F54" s="1" t="s">
        <v>376</v>
      </c>
      <c r="G54" s="1" t="s">
        <v>377</v>
      </c>
      <c r="H54" s="1" t="s">
        <v>378</v>
      </c>
      <c r="I54" s="1">
        <v>71</v>
      </c>
      <c r="J54" s="1" t="s">
        <v>375</v>
      </c>
      <c r="K54" s="1" t="s">
        <v>94</v>
      </c>
      <c r="L54" s="1" t="s">
        <v>376</v>
      </c>
      <c r="M54" s="1">
        <v>416</v>
      </c>
    </row>
    <row r="55" spans="2:13" ht="57" x14ac:dyDescent="0.2">
      <c r="B55" s="1" t="s">
        <v>362</v>
      </c>
      <c r="C55" s="1">
        <v>10</v>
      </c>
      <c r="D55" s="1" t="s">
        <v>379</v>
      </c>
      <c r="E55" s="1" t="s">
        <v>380</v>
      </c>
      <c r="F55" s="1" t="s">
        <v>381</v>
      </c>
      <c r="G55" s="1" t="s">
        <v>382</v>
      </c>
      <c r="H55" s="1" t="s">
        <v>383</v>
      </c>
      <c r="I55" s="1">
        <v>94</v>
      </c>
      <c r="J55" s="1" t="s">
        <v>380</v>
      </c>
      <c r="K55" s="1" t="s">
        <v>94</v>
      </c>
      <c r="L55" s="1" t="s">
        <v>381</v>
      </c>
      <c r="M55" s="1">
        <v>562</v>
      </c>
    </row>
    <row r="56" spans="2:13" ht="28.5" x14ac:dyDescent="0.2">
      <c r="B56" s="1" t="s">
        <v>384</v>
      </c>
      <c r="C56" s="1">
        <v>6</v>
      </c>
      <c r="D56" s="1" t="s">
        <v>385</v>
      </c>
      <c r="E56" s="1" t="s">
        <v>386</v>
      </c>
      <c r="F56" s="1" t="s">
        <v>387</v>
      </c>
      <c r="G56" s="1" t="s">
        <v>388</v>
      </c>
      <c r="H56" s="1" t="s">
        <v>389</v>
      </c>
      <c r="J56" s="1" t="s">
        <v>386</v>
      </c>
      <c r="K56" s="1" t="s">
        <v>94</v>
      </c>
      <c r="L56" s="1" t="s">
        <v>387</v>
      </c>
      <c r="M56" s="1">
        <v>472</v>
      </c>
    </row>
    <row r="57" spans="2:13" ht="42.75" x14ac:dyDescent="0.2">
      <c r="B57" s="1" t="s">
        <v>384</v>
      </c>
      <c r="C57" s="1">
        <v>6</v>
      </c>
      <c r="D57" s="1" t="s">
        <v>390</v>
      </c>
      <c r="E57" s="1" t="s">
        <v>391</v>
      </c>
      <c r="F57" s="1" t="s">
        <v>392</v>
      </c>
      <c r="G57" s="1" t="s">
        <v>393</v>
      </c>
      <c r="H57" s="1" t="s">
        <v>394</v>
      </c>
      <c r="I57" s="1">
        <v>62</v>
      </c>
      <c r="J57" s="1" t="s">
        <v>393</v>
      </c>
      <c r="K57" s="1" t="s">
        <v>219</v>
      </c>
      <c r="L57" s="1" t="s">
        <v>394</v>
      </c>
      <c r="M57" s="1">
        <v>281</v>
      </c>
    </row>
    <row r="58" spans="2:13" ht="42.75" x14ac:dyDescent="0.2">
      <c r="B58" s="1" t="s">
        <v>384</v>
      </c>
      <c r="C58" s="1">
        <v>7</v>
      </c>
      <c r="D58" s="1" t="s">
        <v>395</v>
      </c>
      <c r="E58" s="1" t="s">
        <v>396</v>
      </c>
      <c r="F58" s="1" t="s">
        <v>397</v>
      </c>
      <c r="G58" s="1" t="s">
        <v>398</v>
      </c>
      <c r="H58" s="1" t="s">
        <v>399</v>
      </c>
      <c r="I58" s="1">
        <v>80</v>
      </c>
      <c r="J58" s="1" t="s">
        <v>398</v>
      </c>
      <c r="K58" s="1" t="s">
        <v>94</v>
      </c>
      <c r="L58" s="1" t="s">
        <v>399</v>
      </c>
      <c r="M58" s="1">
        <v>518</v>
      </c>
    </row>
    <row r="59" spans="2:13" ht="28.5" x14ac:dyDescent="0.2">
      <c r="B59" s="1" t="s">
        <v>384</v>
      </c>
      <c r="C59" s="1">
        <v>9</v>
      </c>
      <c r="D59" s="1" t="s">
        <v>400</v>
      </c>
      <c r="E59" s="1" t="s">
        <v>401</v>
      </c>
      <c r="F59" s="1" t="s">
        <v>402</v>
      </c>
      <c r="G59" s="1" t="s">
        <v>403</v>
      </c>
      <c r="H59" s="1" t="s">
        <v>404</v>
      </c>
      <c r="I59" s="1">
        <v>104</v>
      </c>
      <c r="J59" s="1" t="s">
        <v>403</v>
      </c>
      <c r="K59" s="1" t="s">
        <v>94</v>
      </c>
      <c r="L59" s="1" t="s">
        <v>404</v>
      </c>
      <c r="M59" s="1">
        <v>639</v>
      </c>
    </row>
    <row r="60" spans="2:13" ht="42.75" x14ac:dyDescent="0.2">
      <c r="B60" s="1" t="s">
        <v>384</v>
      </c>
      <c r="C60" s="1">
        <v>9</v>
      </c>
      <c r="D60" s="1" t="s">
        <v>405</v>
      </c>
      <c r="E60" s="1" t="s">
        <v>406</v>
      </c>
      <c r="F60" s="1" t="s">
        <v>407</v>
      </c>
      <c r="G60" s="1" t="s">
        <v>408</v>
      </c>
      <c r="H60" s="1" t="s">
        <v>409</v>
      </c>
      <c r="I60" s="1">
        <v>87</v>
      </c>
      <c r="J60" s="1" t="s">
        <v>408</v>
      </c>
      <c r="K60" s="1" t="s">
        <v>94</v>
      </c>
      <c r="L60" s="1" t="s">
        <v>409</v>
      </c>
      <c r="M60" s="1">
        <v>488</v>
      </c>
    </row>
    <row r="61" spans="2:13" ht="57" x14ac:dyDescent="0.2">
      <c r="B61" s="1" t="s">
        <v>384</v>
      </c>
      <c r="C61" s="1">
        <v>10</v>
      </c>
      <c r="D61" s="1" t="s">
        <v>410</v>
      </c>
      <c r="E61" s="1" t="s">
        <v>411</v>
      </c>
      <c r="F61" s="1" t="s">
        <v>412</v>
      </c>
      <c r="G61" s="1" t="s">
        <v>413</v>
      </c>
      <c r="H61" s="1" t="s">
        <v>414</v>
      </c>
      <c r="I61" s="1">
        <v>84</v>
      </c>
      <c r="J61" s="1" t="s">
        <v>411</v>
      </c>
      <c r="K61" s="1" t="s">
        <v>94</v>
      </c>
      <c r="L61" s="1" t="s">
        <v>412</v>
      </c>
      <c r="M61" s="1">
        <v>238</v>
      </c>
    </row>
    <row r="62" spans="2:13" ht="57" x14ac:dyDescent="0.2">
      <c r="B62" s="1" t="s">
        <v>384</v>
      </c>
      <c r="C62" s="1">
        <v>10</v>
      </c>
      <c r="D62" s="1" t="s">
        <v>415</v>
      </c>
      <c r="E62" s="1" t="s">
        <v>416</v>
      </c>
      <c r="F62" s="1" t="s">
        <v>417</v>
      </c>
      <c r="G62" s="1" t="s">
        <v>418</v>
      </c>
      <c r="H62" s="1" t="s">
        <v>419</v>
      </c>
      <c r="I62" s="1">
        <v>85</v>
      </c>
      <c r="J62" s="1" t="s">
        <v>416</v>
      </c>
      <c r="K62" s="1" t="s">
        <v>94</v>
      </c>
      <c r="L62" s="1" t="s">
        <v>417</v>
      </c>
      <c r="M62" s="1">
        <v>564</v>
      </c>
    </row>
    <row r="63" spans="2:13" ht="57" x14ac:dyDescent="0.2">
      <c r="B63" s="1" t="s">
        <v>384</v>
      </c>
      <c r="C63" s="1">
        <v>10</v>
      </c>
      <c r="D63" s="1" t="s">
        <v>420</v>
      </c>
      <c r="E63" s="1" t="s">
        <v>421</v>
      </c>
      <c r="F63" s="1" t="s">
        <v>422</v>
      </c>
      <c r="G63" s="1" t="s">
        <v>423</v>
      </c>
      <c r="H63" s="1" t="s">
        <v>424</v>
      </c>
      <c r="I63" s="1">
        <v>128</v>
      </c>
      <c r="J63" s="1" t="s">
        <v>421</v>
      </c>
      <c r="K63" s="1" t="s">
        <v>94</v>
      </c>
      <c r="L63" s="1" t="s">
        <v>422</v>
      </c>
      <c r="M63" s="1">
        <v>697</v>
      </c>
    </row>
    <row r="64" spans="2:13" ht="42.75" x14ac:dyDescent="0.2">
      <c r="B64" s="1" t="s">
        <v>425</v>
      </c>
      <c r="C64" s="1">
        <v>6</v>
      </c>
      <c r="D64" s="1" t="s">
        <v>426</v>
      </c>
      <c r="E64" s="1" t="s">
        <v>427</v>
      </c>
      <c r="F64" s="1" t="s">
        <v>428</v>
      </c>
      <c r="G64" s="1" t="s">
        <v>429</v>
      </c>
      <c r="H64" s="1" t="s">
        <v>430</v>
      </c>
      <c r="I64" s="1">
        <v>81</v>
      </c>
      <c r="J64" s="1" t="s">
        <v>429</v>
      </c>
      <c r="K64" s="1" t="s">
        <v>88</v>
      </c>
      <c r="L64" s="1" t="s">
        <v>430</v>
      </c>
      <c r="M64" s="1">
        <v>284</v>
      </c>
    </row>
    <row r="65" spans="1:14" ht="28.5" x14ac:dyDescent="0.2">
      <c r="B65" s="1" t="s">
        <v>425</v>
      </c>
      <c r="C65" s="1">
        <v>7</v>
      </c>
      <c r="D65" s="1" t="s">
        <v>431</v>
      </c>
      <c r="E65" s="1" t="s">
        <v>432</v>
      </c>
      <c r="F65" s="1" t="s">
        <v>433</v>
      </c>
      <c r="G65" s="1" t="s">
        <v>434</v>
      </c>
      <c r="H65" s="1" t="s">
        <v>435</v>
      </c>
      <c r="J65" s="1" t="s">
        <v>432</v>
      </c>
      <c r="K65" s="1" t="s">
        <v>88</v>
      </c>
      <c r="L65" s="1" t="s">
        <v>433</v>
      </c>
      <c r="M65" s="1">
        <v>397</v>
      </c>
    </row>
    <row r="66" spans="1:14" ht="28.5" x14ac:dyDescent="0.2">
      <c r="B66" s="1" t="s">
        <v>425</v>
      </c>
      <c r="C66" s="1">
        <v>8</v>
      </c>
      <c r="D66" s="1" t="s">
        <v>436</v>
      </c>
      <c r="E66" s="1" t="s">
        <v>437</v>
      </c>
      <c r="F66" s="1" t="s">
        <v>438</v>
      </c>
      <c r="G66" s="1" t="s">
        <v>439</v>
      </c>
      <c r="H66" s="1" t="s">
        <v>440</v>
      </c>
      <c r="J66" s="1" t="s">
        <v>437</v>
      </c>
      <c r="K66" s="1" t="s">
        <v>94</v>
      </c>
      <c r="L66" s="1" t="s">
        <v>438</v>
      </c>
      <c r="M66" s="1">
        <v>434</v>
      </c>
    </row>
    <row r="67" spans="1:14" ht="28.5" x14ac:dyDescent="0.2">
      <c r="B67" s="1" t="s">
        <v>425</v>
      </c>
      <c r="C67" s="1">
        <v>8</v>
      </c>
      <c r="D67" s="1" t="s">
        <v>441</v>
      </c>
      <c r="E67" s="1" t="s">
        <v>442</v>
      </c>
      <c r="F67" s="1" t="s">
        <v>443</v>
      </c>
      <c r="G67" s="1" t="s">
        <v>444</v>
      </c>
      <c r="H67" s="1" t="s">
        <v>445</v>
      </c>
      <c r="I67" s="1">
        <v>67</v>
      </c>
      <c r="J67" s="1" t="s">
        <v>444</v>
      </c>
      <c r="K67" s="1" t="s">
        <v>94</v>
      </c>
      <c r="L67" s="1" t="s">
        <v>445</v>
      </c>
      <c r="M67" s="1">
        <v>463</v>
      </c>
    </row>
    <row r="68" spans="1:14" ht="57" x14ac:dyDescent="0.2">
      <c r="B68" s="1" t="s">
        <v>425</v>
      </c>
      <c r="C68" s="1">
        <v>10</v>
      </c>
      <c r="D68" s="1" t="s">
        <v>446</v>
      </c>
      <c r="E68" s="1" t="s">
        <v>357</v>
      </c>
      <c r="F68" s="1" t="s">
        <v>447</v>
      </c>
      <c r="G68" s="1" t="s">
        <v>448</v>
      </c>
      <c r="H68" s="1" t="s">
        <v>449</v>
      </c>
      <c r="I68" s="1">
        <v>86</v>
      </c>
      <c r="J68" s="1" t="s">
        <v>448</v>
      </c>
      <c r="K68" s="1" t="s">
        <v>94</v>
      </c>
      <c r="L68" s="1" t="s">
        <v>449</v>
      </c>
      <c r="M68" s="1">
        <v>704</v>
      </c>
    </row>
    <row r="69" spans="1:14" ht="42.75" x14ac:dyDescent="0.2">
      <c r="B69" s="1" t="s">
        <v>425</v>
      </c>
      <c r="C69" s="1">
        <v>10</v>
      </c>
      <c r="D69" s="1" t="s">
        <v>450</v>
      </c>
      <c r="E69" s="1" t="s">
        <v>451</v>
      </c>
      <c r="F69" s="1" t="s">
        <v>452</v>
      </c>
      <c r="G69" s="1" t="s">
        <v>453</v>
      </c>
      <c r="H69" s="1" t="s">
        <v>454</v>
      </c>
      <c r="I69" s="1">
        <v>96</v>
      </c>
      <c r="J69" s="1" t="s">
        <v>451</v>
      </c>
      <c r="K69" s="1" t="s">
        <v>94</v>
      </c>
      <c r="L69" s="1" t="s">
        <v>452</v>
      </c>
      <c r="M69" s="1">
        <v>630</v>
      </c>
    </row>
    <row r="70" spans="1:14" ht="28.5" x14ac:dyDescent="0.2">
      <c r="B70" s="1" t="s">
        <v>455</v>
      </c>
      <c r="C70" s="1">
        <v>6</v>
      </c>
      <c r="D70" s="1" t="s">
        <v>456</v>
      </c>
      <c r="E70" s="1" t="s">
        <v>148</v>
      </c>
      <c r="F70" s="1" t="s">
        <v>457</v>
      </c>
      <c r="G70" s="1" t="s">
        <v>458</v>
      </c>
      <c r="H70" s="1" t="s">
        <v>459</v>
      </c>
      <c r="J70" s="1" t="s">
        <v>148</v>
      </c>
      <c r="K70" s="1" t="s">
        <v>94</v>
      </c>
      <c r="L70" s="1" t="s">
        <v>457</v>
      </c>
      <c r="M70" s="1">
        <v>396</v>
      </c>
    </row>
    <row r="71" spans="1:14" ht="28.5" x14ac:dyDescent="0.2">
      <c r="B71" s="1" t="s">
        <v>455</v>
      </c>
      <c r="C71" s="1">
        <v>6</v>
      </c>
      <c r="D71" s="1" t="s">
        <v>460</v>
      </c>
      <c r="E71" s="1" t="s">
        <v>461</v>
      </c>
      <c r="F71" s="1" t="s">
        <v>462</v>
      </c>
      <c r="G71" s="1" t="s">
        <v>463</v>
      </c>
      <c r="H71" s="1" t="s">
        <v>464</v>
      </c>
      <c r="J71" s="1" t="s">
        <v>463</v>
      </c>
      <c r="K71" s="1" t="s">
        <v>88</v>
      </c>
      <c r="L71" s="1" t="s">
        <v>464</v>
      </c>
      <c r="M71" s="1">
        <v>294</v>
      </c>
    </row>
    <row r="72" spans="1:14" ht="42.75" x14ac:dyDescent="0.2">
      <c r="B72" s="1" t="s">
        <v>455</v>
      </c>
      <c r="C72" s="1">
        <v>6</v>
      </c>
      <c r="D72" s="1" t="s">
        <v>465</v>
      </c>
      <c r="E72" s="1" t="s">
        <v>466</v>
      </c>
      <c r="F72" s="1" t="s">
        <v>467</v>
      </c>
      <c r="G72" s="1" t="s">
        <v>468</v>
      </c>
      <c r="H72" s="1" t="s">
        <v>469</v>
      </c>
      <c r="I72" s="1">
        <v>70</v>
      </c>
      <c r="J72" s="1" t="s">
        <v>468</v>
      </c>
      <c r="K72" s="1" t="s">
        <v>88</v>
      </c>
      <c r="L72" s="1" t="s">
        <v>469</v>
      </c>
      <c r="M72" s="1">
        <v>236</v>
      </c>
    </row>
    <row r="73" spans="1:14" ht="57" x14ac:dyDescent="0.2">
      <c r="B73" s="1" t="s">
        <v>455</v>
      </c>
      <c r="C73" s="1">
        <v>7</v>
      </c>
      <c r="D73" s="1" t="s">
        <v>470</v>
      </c>
      <c r="E73" s="1" t="s">
        <v>471</v>
      </c>
      <c r="F73" s="1" t="s">
        <v>472</v>
      </c>
      <c r="G73" s="1" t="s">
        <v>473</v>
      </c>
      <c r="H73" s="1" t="s">
        <v>474</v>
      </c>
      <c r="I73" s="1">
        <v>70</v>
      </c>
      <c r="J73" s="1" t="s">
        <v>471</v>
      </c>
      <c r="K73" s="1" t="s">
        <v>94</v>
      </c>
      <c r="L73" s="1" t="s">
        <v>472</v>
      </c>
      <c r="M73" s="1">
        <v>414</v>
      </c>
    </row>
    <row r="74" spans="1:14" ht="42.75" x14ac:dyDescent="0.2">
      <c r="B74" s="1" t="s">
        <v>455</v>
      </c>
      <c r="C74" s="1">
        <v>7</v>
      </c>
      <c r="D74" s="1" t="s">
        <v>475</v>
      </c>
      <c r="E74" s="1" t="s">
        <v>230</v>
      </c>
      <c r="F74" s="1" t="s">
        <v>476</v>
      </c>
      <c r="G74" s="1" t="s">
        <v>477</v>
      </c>
      <c r="H74" s="1" t="s">
        <v>478</v>
      </c>
      <c r="I74" s="1">
        <v>80</v>
      </c>
      <c r="J74" s="1" t="s">
        <v>477</v>
      </c>
      <c r="K74" s="1" t="s">
        <v>94</v>
      </c>
      <c r="L74" s="1" t="s">
        <v>478</v>
      </c>
      <c r="M74" s="1">
        <v>396</v>
      </c>
    </row>
    <row r="75" spans="1:14" ht="42.75" x14ac:dyDescent="0.2">
      <c r="B75" s="1" t="s">
        <v>455</v>
      </c>
      <c r="C75" s="1">
        <v>7</v>
      </c>
      <c r="D75" s="1" t="s">
        <v>479</v>
      </c>
      <c r="E75" s="1" t="s">
        <v>480</v>
      </c>
      <c r="F75" s="1" t="s">
        <v>481</v>
      </c>
      <c r="G75" s="1" t="s">
        <v>482</v>
      </c>
      <c r="H75" s="1" t="s">
        <v>483</v>
      </c>
      <c r="I75" s="1">
        <v>69</v>
      </c>
      <c r="J75" s="1" t="s">
        <v>480</v>
      </c>
      <c r="K75" s="1" t="s">
        <v>94</v>
      </c>
      <c r="L75" s="1" t="s">
        <v>481</v>
      </c>
      <c r="M75" s="1">
        <v>324</v>
      </c>
    </row>
    <row r="76" spans="1:14" ht="42.75" x14ac:dyDescent="0.2">
      <c r="B76" s="1" t="s">
        <v>455</v>
      </c>
      <c r="C76" s="1">
        <v>9</v>
      </c>
      <c r="D76" s="1" t="s">
        <v>484</v>
      </c>
      <c r="E76" s="1" t="s">
        <v>485</v>
      </c>
      <c r="F76" s="1" t="s">
        <v>486</v>
      </c>
      <c r="G76" s="1" t="s">
        <v>487</v>
      </c>
      <c r="H76" s="1" t="s">
        <v>488</v>
      </c>
      <c r="J76" s="1" t="s">
        <v>487</v>
      </c>
      <c r="K76" s="1" t="s">
        <v>94</v>
      </c>
      <c r="L76" s="1" t="s">
        <v>488</v>
      </c>
      <c r="M76" s="1">
        <v>601</v>
      </c>
      <c r="N76" s="1" t="s">
        <v>489</v>
      </c>
    </row>
    <row r="77" spans="1:14" ht="57" x14ac:dyDescent="0.2">
      <c r="B77" s="1" t="s">
        <v>455</v>
      </c>
      <c r="C77" s="1">
        <v>9</v>
      </c>
      <c r="D77" s="1" t="s">
        <v>490</v>
      </c>
      <c r="E77" s="1" t="s">
        <v>491</v>
      </c>
      <c r="F77" s="1" t="s">
        <v>492</v>
      </c>
      <c r="G77" s="1" t="s">
        <v>493</v>
      </c>
      <c r="H77" s="1" t="s">
        <v>494</v>
      </c>
      <c r="I77" s="1">
        <v>104</v>
      </c>
      <c r="J77" s="1" t="s">
        <v>491</v>
      </c>
      <c r="K77" s="1" t="s">
        <v>94</v>
      </c>
      <c r="L77" s="1" t="s">
        <v>495</v>
      </c>
      <c r="M77" s="1">
        <v>569</v>
      </c>
    </row>
    <row r="78" spans="1:14" ht="57" x14ac:dyDescent="0.2">
      <c r="B78" s="1" t="s">
        <v>455</v>
      </c>
      <c r="C78" s="1">
        <v>9</v>
      </c>
      <c r="D78" s="1" t="s">
        <v>496</v>
      </c>
      <c r="E78" s="1" t="s">
        <v>497</v>
      </c>
      <c r="F78" s="1" t="s">
        <v>498</v>
      </c>
      <c r="G78" s="1" t="s">
        <v>499</v>
      </c>
      <c r="H78" s="1" t="s">
        <v>500</v>
      </c>
      <c r="I78" s="1">
        <v>80</v>
      </c>
      <c r="J78" s="1" t="s">
        <v>497</v>
      </c>
      <c r="K78" s="1" t="s">
        <v>94</v>
      </c>
      <c r="L78" s="1" t="s">
        <v>498</v>
      </c>
      <c r="M78" s="1">
        <v>441</v>
      </c>
    </row>
    <row r="79" spans="1:14" ht="28.5" x14ac:dyDescent="0.2">
      <c r="B79" s="1" t="s">
        <v>455</v>
      </c>
      <c r="C79" s="1">
        <v>10</v>
      </c>
      <c r="D79" s="1" t="s">
        <v>501</v>
      </c>
      <c r="E79" s="1" t="s">
        <v>502</v>
      </c>
      <c r="F79" s="1" t="s">
        <v>503</v>
      </c>
      <c r="G79" s="1" t="s">
        <v>504</v>
      </c>
      <c r="H79" s="1" t="s">
        <v>505</v>
      </c>
      <c r="J79" s="1" t="s">
        <v>504</v>
      </c>
      <c r="K79" s="1" t="s">
        <v>94</v>
      </c>
      <c r="L79" s="1" t="s">
        <v>505</v>
      </c>
      <c r="M79" s="1">
        <v>456</v>
      </c>
    </row>
    <row r="80" spans="1:14" ht="57" x14ac:dyDescent="0.2">
      <c r="A80" s="1">
        <v>1</v>
      </c>
      <c r="B80" s="1" t="s">
        <v>506</v>
      </c>
      <c r="C80" s="1">
        <v>6</v>
      </c>
      <c r="D80" s="1" t="s">
        <v>507</v>
      </c>
      <c r="E80" s="1" t="s">
        <v>508</v>
      </c>
      <c r="F80" s="1" t="s">
        <v>509</v>
      </c>
      <c r="G80" s="1" t="s">
        <v>510</v>
      </c>
      <c r="H80" s="1" t="s">
        <v>511</v>
      </c>
      <c r="I80" s="1">
        <v>98</v>
      </c>
      <c r="J80" s="1" t="s">
        <v>512</v>
      </c>
      <c r="K80" s="1" t="s">
        <v>94</v>
      </c>
      <c r="L80" s="1" t="s">
        <v>513</v>
      </c>
      <c r="N80" s="1" t="s">
        <v>514</v>
      </c>
    </row>
    <row r="81" spans="2:13" ht="42.75" x14ac:dyDescent="0.2">
      <c r="B81" s="1" t="s">
        <v>515</v>
      </c>
      <c r="C81" s="1">
        <v>7</v>
      </c>
      <c r="D81" s="1" t="s">
        <v>516</v>
      </c>
      <c r="E81" s="1" t="s">
        <v>517</v>
      </c>
      <c r="F81" s="1" t="s">
        <v>518</v>
      </c>
      <c r="G81" s="1" t="s">
        <v>167</v>
      </c>
      <c r="H81" s="1" t="s">
        <v>519</v>
      </c>
      <c r="I81" s="1">
        <v>65</v>
      </c>
      <c r="J81" s="1" t="s">
        <v>520</v>
      </c>
      <c r="K81" s="1" t="s">
        <v>94</v>
      </c>
      <c r="L81" s="1" t="s">
        <v>521</v>
      </c>
      <c r="M81" s="1">
        <v>371</v>
      </c>
    </row>
    <row r="82" spans="2:13" ht="57" x14ac:dyDescent="0.2">
      <c r="B82" s="1" t="s">
        <v>515</v>
      </c>
      <c r="C82" s="1">
        <v>8</v>
      </c>
      <c r="D82" s="1" t="s">
        <v>522</v>
      </c>
      <c r="E82" s="1" t="s">
        <v>523</v>
      </c>
      <c r="F82" s="1" t="s">
        <v>524</v>
      </c>
      <c r="G82" s="1" t="s">
        <v>525</v>
      </c>
      <c r="H82" s="1" t="s">
        <v>526</v>
      </c>
      <c r="I82" s="1">
        <v>147</v>
      </c>
      <c r="J82" s="1" t="s">
        <v>527</v>
      </c>
      <c r="K82" s="1" t="s">
        <v>88</v>
      </c>
      <c r="L82" s="1" t="s">
        <v>528</v>
      </c>
      <c r="M82" s="1">
        <v>601</v>
      </c>
    </row>
    <row r="83" spans="2:13" ht="57" x14ac:dyDescent="0.2">
      <c r="B83" s="1" t="s">
        <v>515</v>
      </c>
      <c r="C83" s="1">
        <v>8</v>
      </c>
      <c r="D83" s="1" t="s">
        <v>529</v>
      </c>
      <c r="E83" s="1" t="s">
        <v>317</v>
      </c>
      <c r="F83" s="1" t="s">
        <v>530</v>
      </c>
      <c r="G83" s="1" t="s">
        <v>84</v>
      </c>
      <c r="H83" s="1" t="s">
        <v>531</v>
      </c>
      <c r="I83" s="1">
        <v>84</v>
      </c>
      <c r="J83" s="1" t="s">
        <v>317</v>
      </c>
      <c r="K83" s="1" t="s">
        <v>88</v>
      </c>
      <c r="L83" s="1" t="s">
        <v>530</v>
      </c>
      <c r="M83" s="1">
        <v>580</v>
      </c>
    </row>
    <row r="84" spans="2:13" ht="42.75" x14ac:dyDescent="0.2">
      <c r="B84" s="1" t="s">
        <v>515</v>
      </c>
      <c r="C84" s="1">
        <v>8</v>
      </c>
      <c r="D84" s="1" t="s">
        <v>532</v>
      </c>
      <c r="E84" s="1" t="s">
        <v>533</v>
      </c>
      <c r="F84" s="1" t="s">
        <v>534</v>
      </c>
      <c r="G84" s="1" t="s">
        <v>535</v>
      </c>
      <c r="H84" s="1" t="s">
        <v>536</v>
      </c>
      <c r="I84" s="1">
        <v>83</v>
      </c>
      <c r="J84" s="1" t="s">
        <v>533</v>
      </c>
      <c r="K84" s="1" t="s">
        <v>94</v>
      </c>
      <c r="L84" s="1" t="s">
        <v>534</v>
      </c>
      <c r="M84" s="1">
        <v>676</v>
      </c>
    </row>
    <row r="85" spans="2:13" ht="42.75" x14ac:dyDescent="0.2">
      <c r="B85" s="1" t="s">
        <v>515</v>
      </c>
      <c r="C85" s="1">
        <v>9</v>
      </c>
      <c r="D85" s="1" t="s">
        <v>537</v>
      </c>
      <c r="E85" s="1" t="s">
        <v>538</v>
      </c>
      <c r="F85" s="1" t="s">
        <v>539</v>
      </c>
      <c r="G85" s="1" t="s">
        <v>540</v>
      </c>
      <c r="H85" s="1" t="s">
        <v>541</v>
      </c>
      <c r="I85" s="1">
        <v>68</v>
      </c>
      <c r="J85" s="1" t="s">
        <v>540</v>
      </c>
      <c r="K85" s="1" t="s">
        <v>94</v>
      </c>
      <c r="L85" s="1" t="s">
        <v>541</v>
      </c>
      <c r="M85" s="1">
        <v>426</v>
      </c>
    </row>
    <row r="86" spans="2:13" ht="42.75" x14ac:dyDescent="0.2">
      <c r="B86" s="1" t="s">
        <v>515</v>
      </c>
      <c r="C86" s="1">
        <v>9</v>
      </c>
      <c r="D86" s="1" t="s">
        <v>542</v>
      </c>
      <c r="E86" s="1" t="s">
        <v>323</v>
      </c>
      <c r="F86" s="1" t="s">
        <v>543</v>
      </c>
      <c r="G86" s="1" t="s">
        <v>544</v>
      </c>
      <c r="H86" s="1" t="s">
        <v>545</v>
      </c>
      <c r="I86" s="1">
        <v>91</v>
      </c>
      <c r="J86" s="1" t="s">
        <v>323</v>
      </c>
      <c r="K86" s="1" t="s">
        <v>94</v>
      </c>
      <c r="L86" s="1" t="s">
        <v>543</v>
      </c>
    </row>
    <row r="87" spans="2:13" ht="42.75" x14ac:dyDescent="0.2">
      <c r="B87" s="1" t="s">
        <v>515</v>
      </c>
      <c r="C87" s="1">
        <v>10</v>
      </c>
      <c r="D87" s="1" t="s">
        <v>546</v>
      </c>
      <c r="E87" s="1" t="s">
        <v>547</v>
      </c>
      <c r="F87" s="1" t="s">
        <v>548</v>
      </c>
      <c r="G87" s="1" t="s">
        <v>549</v>
      </c>
      <c r="H87" s="1" t="s">
        <v>550</v>
      </c>
      <c r="I87" s="1">
        <v>103</v>
      </c>
      <c r="J87" s="1" t="s">
        <v>547</v>
      </c>
      <c r="K87" s="1" t="s">
        <v>94</v>
      </c>
      <c r="L87" s="1" t="s">
        <v>548</v>
      </c>
      <c r="M87" s="1">
        <v>621</v>
      </c>
    </row>
    <row r="88" spans="2:13" ht="42.75" x14ac:dyDescent="0.2">
      <c r="B88" s="1" t="s">
        <v>551</v>
      </c>
      <c r="C88" s="1">
        <v>6</v>
      </c>
      <c r="D88" s="1" t="s">
        <v>552</v>
      </c>
      <c r="E88" s="1" t="s">
        <v>553</v>
      </c>
      <c r="F88" s="1" t="s">
        <v>554</v>
      </c>
      <c r="G88" s="1" t="s">
        <v>555</v>
      </c>
      <c r="H88" s="1" t="s">
        <v>556</v>
      </c>
      <c r="I88" s="1">
        <v>73</v>
      </c>
      <c r="J88" s="1" t="s">
        <v>555</v>
      </c>
      <c r="K88" s="1" t="s">
        <v>88</v>
      </c>
      <c r="L88" s="1" t="s">
        <v>556</v>
      </c>
      <c r="M88" s="1">
        <v>281</v>
      </c>
    </row>
    <row r="89" spans="2:13" ht="57" x14ac:dyDescent="0.2">
      <c r="B89" s="1" t="s">
        <v>551</v>
      </c>
      <c r="C89" s="1">
        <v>8</v>
      </c>
      <c r="D89" s="1" t="s">
        <v>557</v>
      </c>
      <c r="E89" s="1" t="s">
        <v>558</v>
      </c>
      <c r="F89" s="1" t="s">
        <v>559</v>
      </c>
      <c r="G89" s="1" t="s">
        <v>560</v>
      </c>
      <c r="H89" s="1" t="s">
        <v>561</v>
      </c>
      <c r="I89" s="1">
        <v>72</v>
      </c>
      <c r="J89" s="1" t="s">
        <v>562</v>
      </c>
      <c r="K89" s="1" t="s">
        <v>94</v>
      </c>
      <c r="L89" s="1" t="s">
        <v>563</v>
      </c>
      <c r="M89" s="1">
        <v>443</v>
      </c>
    </row>
    <row r="90" spans="2:13" ht="57" x14ac:dyDescent="0.2">
      <c r="B90" s="1" t="s">
        <v>551</v>
      </c>
      <c r="C90" s="1">
        <v>9</v>
      </c>
      <c r="D90" s="1" t="s">
        <v>564</v>
      </c>
      <c r="E90" s="1" t="s">
        <v>565</v>
      </c>
      <c r="F90" s="1" t="s">
        <v>566</v>
      </c>
      <c r="G90" s="1" t="s">
        <v>567</v>
      </c>
      <c r="H90" s="1" t="s">
        <v>568</v>
      </c>
      <c r="I90" s="1">
        <v>68</v>
      </c>
      <c r="J90" s="1" t="s">
        <v>567</v>
      </c>
      <c r="K90" s="1" t="s">
        <v>94</v>
      </c>
      <c r="L90" s="1" t="s">
        <v>568</v>
      </c>
      <c r="M90" s="1">
        <v>401</v>
      </c>
    </row>
    <row r="91" spans="2:13" ht="42.75" x14ac:dyDescent="0.2">
      <c r="B91" s="1" t="s">
        <v>569</v>
      </c>
      <c r="C91" s="1">
        <v>6</v>
      </c>
      <c r="D91" s="1" t="s">
        <v>570</v>
      </c>
      <c r="E91" s="1" t="s">
        <v>571</v>
      </c>
      <c r="F91" s="1" t="s">
        <v>572</v>
      </c>
      <c r="G91" s="1" t="s">
        <v>573</v>
      </c>
      <c r="H91" s="1" t="s">
        <v>574</v>
      </c>
      <c r="I91" s="1">
        <v>62</v>
      </c>
      <c r="J91" s="1" t="s">
        <v>573</v>
      </c>
      <c r="K91" s="1" t="s">
        <v>88</v>
      </c>
      <c r="L91" s="1" t="s">
        <v>574</v>
      </c>
      <c r="M91" s="1">
        <v>143</v>
      </c>
    </row>
    <row r="92" spans="2:13" ht="42.75" x14ac:dyDescent="0.2">
      <c r="B92" s="1" t="s">
        <v>569</v>
      </c>
      <c r="C92" s="1">
        <v>10</v>
      </c>
      <c r="D92" s="1" t="s">
        <v>575</v>
      </c>
      <c r="E92" s="1" t="s">
        <v>576</v>
      </c>
      <c r="F92" s="1" t="s">
        <v>577</v>
      </c>
      <c r="G92" s="1" t="s">
        <v>578</v>
      </c>
      <c r="H92" s="1" t="s">
        <v>579</v>
      </c>
      <c r="I92" s="1">
        <v>123</v>
      </c>
      <c r="J92" s="1" t="s">
        <v>580</v>
      </c>
      <c r="K92" s="1" t="s">
        <v>94</v>
      </c>
      <c r="L92" s="1" t="s">
        <v>579</v>
      </c>
      <c r="M92" s="1">
        <v>915</v>
      </c>
    </row>
    <row r="93" spans="2:13" ht="42.75" x14ac:dyDescent="0.2">
      <c r="B93" s="1" t="s">
        <v>581</v>
      </c>
      <c r="C93" s="1">
        <v>6</v>
      </c>
      <c r="D93" s="1" t="s">
        <v>582</v>
      </c>
      <c r="E93" s="1" t="s">
        <v>583</v>
      </c>
      <c r="F93" s="1" t="s">
        <v>584</v>
      </c>
      <c r="G93" s="1" t="s">
        <v>585</v>
      </c>
      <c r="H93" s="1" t="s">
        <v>586</v>
      </c>
      <c r="I93" s="1">
        <v>68</v>
      </c>
      <c r="J93" s="1" t="s">
        <v>587</v>
      </c>
      <c r="K93" s="1" t="s">
        <v>88</v>
      </c>
      <c r="L93" s="1" t="s">
        <v>588</v>
      </c>
      <c r="M93" s="1">
        <v>210</v>
      </c>
    </row>
    <row r="94" spans="2:13" ht="42.75" x14ac:dyDescent="0.2">
      <c r="B94" s="1" t="s">
        <v>581</v>
      </c>
      <c r="C94" s="1">
        <v>6</v>
      </c>
      <c r="D94" s="1" t="s">
        <v>589</v>
      </c>
      <c r="E94" s="1" t="s">
        <v>590</v>
      </c>
      <c r="F94" s="1" t="s">
        <v>591</v>
      </c>
      <c r="G94" s="1" t="s">
        <v>592</v>
      </c>
      <c r="H94" s="1" t="s">
        <v>593</v>
      </c>
      <c r="I94" s="1">
        <v>66</v>
      </c>
      <c r="J94" s="1" t="s">
        <v>590</v>
      </c>
      <c r="K94" s="1" t="s">
        <v>94</v>
      </c>
      <c r="L94" s="1" t="s">
        <v>591</v>
      </c>
      <c r="M94" s="1">
        <v>313</v>
      </c>
    </row>
    <row r="95" spans="2:13" ht="28.5" x14ac:dyDescent="0.2">
      <c r="B95" s="1" t="s">
        <v>581</v>
      </c>
      <c r="C95" s="1">
        <v>7</v>
      </c>
      <c r="D95" s="1" t="s">
        <v>594</v>
      </c>
      <c r="E95" s="1" t="s">
        <v>228</v>
      </c>
      <c r="F95" s="1" t="s">
        <v>595</v>
      </c>
      <c r="G95" s="1" t="s">
        <v>596</v>
      </c>
      <c r="H95" s="1" t="s">
        <v>597</v>
      </c>
      <c r="J95" s="1" t="s">
        <v>596</v>
      </c>
      <c r="K95" s="1" t="s">
        <v>94</v>
      </c>
      <c r="L95" s="1" t="s">
        <v>597</v>
      </c>
      <c r="M95" s="1">
        <v>372</v>
      </c>
    </row>
    <row r="96" spans="2:13" ht="42.75" x14ac:dyDescent="0.2">
      <c r="B96" s="1" t="s">
        <v>581</v>
      </c>
      <c r="C96" s="1">
        <v>8</v>
      </c>
      <c r="D96" s="1" t="s">
        <v>598</v>
      </c>
      <c r="E96" s="1" t="s">
        <v>599</v>
      </c>
      <c r="F96" s="1" t="s">
        <v>600</v>
      </c>
      <c r="G96" s="1" t="s">
        <v>601</v>
      </c>
      <c r="H96" s="1" t="s">
        <v>602</v>
      </c>
      <c r="I96" s="1">
        <v>94</v>
      </c>
      <c r="J96" s="1" t="s">
        <v>599</v>
      </c>
      <c r="K96" s="1" t="s">
        <v>94</v>
      </c>
      <c r="L96" s="1" t="s">
        <v>600</v>
      </c>
      <c r="M96" s="1">
        <v>736</v>
      </c>
    </row>
    <row r="97" spans="2:13" ht="28.5" x14ac:dyDescent="0.2">
      <c r="B97" s="1" t="s">
        <v>581</v>
      </c>
      <c r="C97" s="1">
        <v>9</v>
      </c>
      <c r="D97" s="1" t="s">
        <v>603</v>
      </c>
      <c r="E97" s="1" t="s">
        <v>604</v>
      </c>
      <c r="F97" s="1" t="s">
        <v>605</v>
      </c>
      <c r="G97" s="1" t="s">
        <v>606</v>
      </c>
      <c r="H97" s="1" t="s">
        <v>607</v>
      </c>
      <c r="I97" s="1">
        <v>91</v>
      </c>
      <c r="J97" s="1" t="s">
        <v>604</v>
      </c>
      <c r="K97" s="1" t="s">
        <v>88</v>
      </c>
      <c r="L97" s="1" t="s">
        <v>605</v>
      </c>
      <c r="M97" s="1">
        <v>413</v>
      </c>
    </row>
    <row r="98" spans="2:13" ht="57" x14ac:dyDescent="0.2">
      <c r="B98" s="1" t="s">
        <v>581</v>
      </c>
      <c r="C98" s="1">
        <v>10</v>
      </c>
      <c r="D98" s="1" t="s">
        <v>608</v>
      </c>
      <c r="E98" s="1" t="s">
        <v>609</v>
      </c>
      <c r="F98" s="1" t="s">
        <v>610</v>
      </c>
      <c r="G98" s="1" t="s">
        <v>611</v>
      </c>
      <c r="H98" s="1" t="s">
        <v>612</v>
      </c>
      <c r="I98" s="1">
        <v>106</v>
      </c>
      <c r="J98" s="1" t="s">
        <v>609</v>
      </c>
      <c r="K98" s="1" t="s">
        <v>94</v>
      </c>
      <c r="L98" s="1" t="s">
        <v>610</v>
      </c>
    </row>
    <row r="99" spans="2:13" ht="57" x14ac:dyDescent="0.2">
      <c r="B99" s="1" t="s">
        <v>581</v>
      </c>
      <c r="C99" s="1">
        <v>10</v>
      </c>
      <c r="D99" s="1" t="s">
        <v>613</v>
      </c>
      <c r="E99" s="1" t="s">
        <v>614</v>
      </c>
      <c r="F99" s="1" t="s">
        <v>615</v>
      </c>
      <c r="G99" s="1" t="s">
        <v>616</v>
      </c>
      <c r="H99" s="1" t="s">
        <v>617</v>
      </c>
      <c r="I99" s="1">
        <v>118</v>
      </c>
      <c r="J99" s="1" t="s">
        <v>614</v>
      </c>
      <c r="K99" s="1" t="s">
        <v>94</v>
      </c>
      <c r="L99" s="1">
        <v>0</v>
      </c>
    </row>
    <row r="100" spans="2:13" ht="42.75" x14ac:dyDescent="0.2">
      <c r="B100" s="1" t="s">
        <v>618</v>
      </c>
      <c r="C100" s="1">
        <v>6</v>
      </c>
      <c r="D100" s="1" t="s">
        <v>619</v>
      </c>
      <c r="E100" s="1" t="s">
        <v>620</v>
      </c>
      <c r="F100" s="1" t="s">
        <v>621</v>
      </c>
      <c r="G100" s="1" t="s">
        <v>622</v>
      </c>
      <c r="H100" s="1" t="s">
        <v>623</v>
      </c>
      <c r="I100" s="1">
        <v>61</v>
      </c>
      <c r="J100" s="1" t="s">
        <v>622</v>
      </c>
      <c r="K100" s="1" t="s">
        <v>94</v>
      </c>
      <c r="L100" s="1" t="s">
        <v>623</v>
      </c>
      <c r="M100" s="1">
        <v>264</v>
      </c>
    </row>
    <row r="101" spans="2:13" ht="42.75" x14ac:dyDescent="0.2">
      <c r="B101" s="1" t="s">
        <v>618</v>
      </c>
      <c r="C101" s="1">
        <v>6</v>
      </c>
      <c r="D101" s="1" t="s">
        <v>624</v>
      </c>
      <c r="E101" s="1" t="s">
        <v>327</v>
      </c>
      <c r="F101" s="1" t="s">
        <v>625</v>
      </c>
      <c r="G101" s="1" t="s">
        <v>626</v>
      </c>
      <c r="H101" s="1" t="s">
        <v>627</v>
      </c>
      <c r="I101" s="1">
        <v>58</v>
      </c>
      <c r="J101" s="1" t="s">
        <v>628</v>
      </c>
      <c r="K101" s="1" t="s">
        <v>94</v>
      </c>
      <c r="L101" s="1" t="s">
        <v>629</v>
      </c>
      <c r="M101" s="1">
        <v>267</v>
      </c>
    </row>
    <row r="102" spans="2:13" ht="42.75" x14ac:dyDescent="0.2">
      <c r="B102" s="1" t="s">
        <v>618</v>
      </c>
      <c r="C102" s="1">
        <v>8</v>
      </c>
      <c r="D102" s="1" t="s">
        <v>630</v>
      </c>
      <c r="E102" s="1" t="s">
        <v>631</v>
      </c>
      <c r="F102" s="1" t="s">
        <v>632</v>
      </c>
      <c r="G102" s="1" t="s">
        <v>413</v>
      </c>
      <c r="H102" s="1" t="s">
        <v>633</v>
      </c>
      <c r="I102" s="1">
        <v>77</v>
      </c>
      <c r="J102" s="1" t="s">
        <v>631</v>
      </c>
      <c r="K102" s="1" t="s">
        <v>94</v>
      </c>
      <c r="L102" s="1" t="s">
        <v>632</v>
      </c>
      <c r="M102" s="1">
        <v>378</v>
      </c>
    </row>
    <row r="103" spans="2:13" ht="42.75" x14ac:dyDescent="0.2">
      <c r="B103" s="1" t="s">
        <v>618</v>
      </c>
      <c r="C103" s="1">
        <v>8</v>
      </c>
      <c r="D103" s="1" t="s">
        <v>634</v>
      </c>
      <c r="E103" s="1" t="s">
        <v>635</v>
      </c>
      <c r="F103" s="1" t="s">
        <v>636</v>
      </c>
      <c r="G103" s="1" t="s">
        <v>388</v>
      </c>
      <c r="H103" s="1" t="s">
        <v>637</v>
      </c>
      <c r="I103" s="1">
        <v>71</v>
      </c>
      <c r="J103" s="1" t="s">
        <v>388</v>
      </c>
      <c r="K103" s="1" t="s">
        <v>94</v>
      </c>
      <c r="L103" s="1" t="s">
        <v>637</v>
      </c>
      <c r="M103" s="1">
        <v>346</v>
      </c>
    </row>
    <row r="104" spans="2:13" ht="42.75" x14ac:dyDescent="0.2">
      <c r="B104" s="1" t="s">
        <v>618</v>
      </c>
      <c r="C104" s="1">
        <v>10</v>
      </c>
      <c r="D104" s="1" t="s">
        <v>638</v>
      </c>
      <c r="E104" s="1" t="s">
        <v>639</v>
      </c>
      <c r="F104" s="1" t="s">
        <v>640</v>
      </c>
      <c r="G104" s="1" t="s">
        <v>641</v>
      </c>
      <c r="H104" s="1" t="s">
        <v>642</v>
      </c>
      <c r="I104" s="1">
        <v>115</v>
      </c>
      <c r="J104" s="1" t="s">
        <v>639</v>
      </c>
      <c r="K104" s="1" t="s">
        <v>94</v>
      </c>
      <c r="L104" s="1" t="s">
        <v>640</v>
      </c>
      <c r="M104" s="1">
        <v>811</v>
      </c>
    </row>
    <row r="105" spans="2:13" ht="57" x14ac:dyDescent="0.2">
      <c r="B105" s="1" t="s">
        <v>618</v>
      </c>
      <c r="C105" s="1">
        <v>10</v>
      </c>
      <c r="D105" s="1" t="s">
        <v>643</v>
      </c>
      <c r="E105" s="1" t="s">
        <v>644</v>
      </c>
      <c r="F105" s="1" t="s">
        <v>645</v>
      </c>
      <c r="G105" s="1" t="s">
        <v>646</v>
      </c>
      <c r="H105" s="1" t="s">
        <v>647</v>
      </c>
      <c r="I105" s="1">
        <v>90</v>
      </c>
      <c r="J105" s="1" t="s">
        <v>648</v>
      </c>
      <c r="K105" s="1" t="s">
        <v>94</v>
      </c>
      <c r="L105" s="1">
        <v>0</v>
      </c>
      <c r="M105" s="1">
        <v>559</v>
      </c>
    </row>
    <row r="106" spans="2:13" ht="28.5" x14ac:dyDescent="0.2">
      <c r="B106" s="1" t="s">
        <v>506</v>
      </c>
      <c r="C106" s="1">
        <v>6</v>
      </c>
      <c r="D106" s="1" t="s">
        <v>649</v>
      </c>
      <c r="E106" s="1" t="s">
        <v>650</v>
      </c>
      <c r="F106" s="1" t="s">
        <v>651</v>
      </c>
      <c r="G106" s="1" t="s">
        <v>403</v>
      </c>
      <c r="H106" s="1" t="s">
        <v>652</v>
      </c>
      <c r="J106" s="1" t="s">
        <v>653</v>
      </c>
      <c r="K106" s="1" t="s">
        <v>94</v>
      </c>
      <c r="L106" s="1" t="s">
        <v>654</v>
      </c>
      <c r="M106" s="1">
        <v>436</v>
      </c>
    </row>
    <row r="107" spans="2:13" ht="28.5" x14ac:dyDescent="0.2">
      <c r="B107" s="1" t="s">
        <v>506</v>
      </c>
      <c r="C107" s="1">
        <v>6</v>
      </c>
      <c r="D107" s="1" t="s">
        <v>655</v>
      </c>
      <c r="E107" s="1" t="s">
        <v>656</v>
      </c>
      <c r="F107" s="1" t="s">
        <v>657</v>
      </c>
      <c r="G107" s="1" t="s">
        <v>658</v>
      </c>
      <c r="H107" s="1" t="s">
        <v>659</v>
      </c>
      <c r="J107" s="1" t="s">
        <v>658</v>
      </c>
      <c r="K107" s="1" t="s">
        <v>94</v>
      </c>
      <c r="L107" s="1" t="s">
        <v>659</v>
      </c>
      <c r="M107" s="1">
        <v>300</v>
      </c>
    </row>
    <row r="108" spans="2:13" ht="57" x14ac:dyDescent="0.2">
      <c r="B108" s="1" t="s">
        <v>506</v>
      </c>
      <c r="C108" s="1">
        <v>6</v>
      </c>
      <c r="D108" s="1" t="s">
        <v>507</v>
      </c>
      <c r="E108" s="1" t="s">
        <v>508</v>
      </c>
      <c r="F108" s="1" t="s">
        <v>509</v>
      </c>
      <c r="G108" s="1" t="s">
        <v>510</v>
      </c>
      <c r="H108" s="1" t="s">
        <v>511</v>
      </c>
      <c r="I108" s="1">
        <v>98</v>
      </c>
      <c r="J108" s="1" t="s">
        <v>512</v>
      </c>
      <c r="K108" s="1" t="s">
        <v>94</v>
      </c>
      <c r="L108" s="1" t="s">
        <v>513</v>
      </c>
      <c r="M108" s="1">
        <v>802</v>
      </c>
    </row>
    <row r="109" spans="2:13" ht="57" x14ac:dyDescent="0.2">
      <c r="B109" s="1" t="s">
        <v>506</v>
      </c>
      <c r="C109" s="1">
        <v>6</v>
      </c>
      <c r="D109" s="1" t="s">
        <v>660</v>
      </c>
      <c r="E109" s="1" t="s">
        <v>661</v>
      </c>
      <c r="F109" s="1" t="s">
        <v>662</v>
      </c>
      <c r="G109" s="1" t="s">
        <v>663</v>
      </c>
      <c r="H109" s="1" t="s">
        <v>664</v>
      </c>
      <c r="I109" s="1">
        <v>64</v>
      </c>
      <c r="J109" s="1" t="s">
        <v>661</v>
      </c>
      <c r="K109" s="1" t="s">
        <v>88</v>
      </c>
      <c r="L109" s="1" t="s">
        <v>665</v>
      </c>
      <c r="M109" s="1">
        <v>247</v>
      </c>
    </row>
    <row r="110" spans="2:13" ht="42.75" x14ac:dyDescent="0.2">
      <c r="B110" s="1" t="s">
        <v>506</v>
      </c>
      <c r="C110" s="1">
        <v>6</v>
      </c>
      <c r="D110" s="1" t="s">
        <v>666</v>
      </c>
      <c r="E110" s="1" t="s">
        <v>667</v>
      </c>
      <c r="F110" s="1" t="s">
        <v>668</v>
      </c>
      <c r="G110" s="1" t="s">
        <v>203</v>
      </c>
      <c r="H110" s="1" t="s">
        <v>669</v>
      </c>
      <c r="I110" s="1">
        <v>69</v>
      </c>
      <c r="J110" s="1" t="s">
        <v>670</v>
      </c>
      <c r="K110" s="1" t="s">
        <v>88</v>
      </c>
      <c r="L110" s="1" t="s">
        <v>671</v>
      </c>
      <c r="M110" s="1">
        <v>254</v>
      </c>
    </row>
    <row r="111" spans="2:13" ht="57" x14ac:dyDescent="0.2">
      <c r="B111" s="1" t="s">
        <v>506</v>
      </c>
      <c r="C111" s="1">
        <v>9</v>
      </c>
      <c r="D111" s="1" t="s">
        <v>672</v>
      </c>
      <c r="E111" s="1" t="s">
        <v>482</v>
      </c>
      <c r="F111" s="1" t="s">
        <v>673</v>
      </c>
      <c r="G111" s="1" t="s">
        <v>674</v>
      </c>
      <c r="H111" s="1" t="s">
        <v>675</v>
      </c>
      <c r="I111" s="1">
        <v>103</v>
      </c>
      <c r="J111" s="1" t="s">
        <v>674</v>
      </c>
      <c r="K111" s="1" t="s">
        <v>94</v>
      </c>
      <c r="L111" s="1" t="s">
        <v>675</v>
      </c>
      <c r="M111" s="1">
        <v>465</v>
      </c>
    </row>
    <row r="112" spans="2:13" ht="42.75" x14ac:dyDescent="0.2">
      <c r="B112" s="1" t="s">
        <v>506</v>
      </c>
      <c r="C112" s="1">
        <v>10</v>
      </c>
      <c r="D112" s="1" t="s">
        <v>676</v>
      </c>
      <c r="E112" s="1" t="s">
        <v>677</v>
      </c>
      <c r="F112" s="1" t="s">
        <v>678</v>
      </c>
      <c r="G112" s="1" t="s">
        <v>679</v>
      </c>
      <c r="H112" s="1" t="s">
        <v>680</v>
      </c>
      <c r="J112" s="1" t="s">
        <v>679</v>
      </c>
      <c r="K112" s="1" t="s">
        <v>94</v>
      </c>
      <c r="L112" s="1" t="s">
        <v>680</v>
      </c>
      <c r="M112" s="1">
        <v>646</v>
      </c>
    </row>
    <row r="113" spans="2:13" ht="57" x14ac:dyDescent="0.2">
      <c r="B113" s="1" t="s">
        <v>681</v>
      </c>
      <c r="C113" s="1">
        <v>7</v>
      </c>
      <c r="D113" s="1" t="s">
        <v>682</v>
      </c>
      <c r="E113" s="1" t="s">
        <v>683</v>
      </c>
      <c r="F113" s="1" t="s">
        <v>684</v>
      </c>
      <c r="G113" s="1" t="s">
        <v>555</v>
      </c>
      <c r="H113" s="1" t="s">
        <v>685</v>
      </c>
      <c r="I113" s="1">
        <v>63</v>
      </c>
      <c r="J113" s="1" t="s">
        <v>683</v>
      </c>
      <c r="K113" s="1" t="s">
        <v>94</v>
      </c>
      <c r="L113" s="1" t="s">
        <v>684</v>
      </c>
      <c r="M113" s="1">
        <v>272</v>
      </c>
    </row>
    <row r="114" spans="2:13" ht="28.5" x14ac:dyDescent="0.2">
      <c r="B114" s="1" t="s">
        <v>681</v>
      </c>
      <c r="C114" s="1">
        <v>9</v>
      </c>
      <c r="D114" s="1" t="s">
        <v>686</v>
      </c>
      <c r="E114" s="1" t="s">
        <v>687</v>
      </c>
      <c r="F114" s="1" t="s">
        <v>688</v>
      </c>
      <c r="G114" s="1" t="s">
        <v>689</v>
      </c>
      <c r="H114" s="1" t="s">
        <v>690</v>
      </c>
      <c r="J114" s="1" t="s">
        <v>689</v>
      </c>
      <c r="K114" s="1" t="s">
        <v>94</v>
      </c>
      <c r="L114" s="1" t="s">
        <v>690</v>
      </c>
      <c r="M114" s="1">
        <v>438</v>
      </c>
    </row>
    <row r="115" spans="2:13" ht="28.5" x14ac:dyDescent="0.2">
      <c r="B115" s="1" t="s">
        <v>691</v>
      </c>
      <c r="C115" s="1">
        <v>6</v>
      </c>
      <c r="D115" s="1" t="s">
        <v>692</v>
      </c>
      <c r="E115" s="1" t="s">
        <v>667</v>
      </c>
      <c r="F115" s="1" t="s">
        <v>693</v>
      </c>
      <c r="G115" s="1" t="s">
        <v>198</v>
      </c>
      <c r="H115" s="1" t="s">
        <v>694</v>
      </c>
      <c r="J115" s="1" t="s">
        <v>667</v>
      </c>
      <c r="K115" s="1" t="s">
        <v>88</v>
      </c>
      <c r="L115" s="1" t="s">
        <v>693</v>
      </c>
      <c r="M115" s="1">
        <v>232</v>
      </c>
    </row>
    <row r="116" spans="2:13" ht="42.75" x14ac:dyDescent="0.2">
      <c r="B116" s="1" t="s">
        <v>691</v>
      </c>
      <c r="C116" s="1">
        <v>10</v>
      </c>
      <c r="D116" s="1" t="s">
        <v>695</v>
      </c>
      <c r="E116" s="1" t="s">
        <v>696</v>
      </c>
      <c r="F116" s="1" t="s">
        <v>697</v>
      </c>
      <c r="G116" s="1" t="s">
        <v>338</v>
      </c>
      <c r="H116" s="1" t="s">
        <v>698</v>
      </c>
      <c r="I116" s="1">
        <v>0</v>
      </c>
      <c r="J116" s="1">
        <v>0</v>
      </c>
      <c r="K116" s="1" t="s">
        <v>94</v>
      </c>
      <c r="L116" s="1">
        <v>0</v>
      </c>
      <c r="M116" s="1">
        <v>585</v>
      </c>
    </row>
    <row r="117" spans="2:13" ht="42.75" x14ac:dyDescent="0.2">
      <c r="B117" s="1" t="s">
        <v>691</v>
      </c>
      <c r="C117" s="1">
        <v>10</v>
      </c>
      <c r="D117" s="1" t="s">
        <v>699</v>
      </c>
      <c r="E117" s="1" t="s">
        <v>700</v>
      </c>
      <c r="F117" s="1" t="s">
        <v>701</v>
      </c>
      <c r="G117" s="1">
        <v>0</v>
      </c>
      <c r="H117" s="1">
        <v>0</v>
      </c>
      <c r="I117" s="1">
        <v>99</v>
      </c>
      <c r="J117" s="1" t="s">
        <v>264</v>
      </c>
      <c r="K117" s="1" t="s">
        <v>94</v>
      </c>
      <c r="L117" s="1" t="s">
        <v>702</v>
      </c>
      <c r="M117" s="1">
        <v>570</v>
      </c>
    </row>
    <row r="118" spans="2:13" ht="57" x14ac:dyDescent="0.2">
      <c r="B118" s="1" t="s">
        <v>703</v>
      </c>
      <c r="C118" s="1">
        <v>6</v>
      </c>
      <c r="D118" s="1" t="s">
        <v>704</v>
      </c>
      <c r="E118" s="1" t="s">
        <v>609</v>
      </c>
      <c r="F118" s="1" t="s">
        <v>705</v>
      </c>
      <c r="G118" s="1" t="s">
        <v>706</v>
      </c>
      <c r="H118" s="1" t="s">
        <v>707</v>
      </c>
      <c r="I118" s="1">
        <v>68</v>
      </c>
      <c r="J118" s="1" t="s">
        <v>609</v>
      </c>
      <c r="K118" s="1" t="s">
        <v>88</v>
      </c>
      <c r="L118" s="1" t="s">
        <v>705</v>
      </c>
      <c r="M118" s="1">
        <v>327</v>
      </c>
    </row>
    <row r="119" spans="2:13" ht="42.75" x14ac:dyDescent="0.2">
      <c r="B119" s="1" t="s">
        <v>703</v>
      </c>
      <c r="C119" s="1">
        <v>8</v>
      </c>
      <c r="D119" s="1" t="s">
        <v>708</v>
      </c>
      <c r="E119" s="1" t="s">
        <v>709</v>
      </c>
      <c r="F119" s="1" t="s">
        <v>710</v>
      </c>
      <c r="G119" s="1" t="s">
        <v>711</v>
      </c>
      <c r="H119" s="1" t="s">
        <v>712</v>
      </c>
      <c r="I119" s="1">
        <v>101</v>
      </c>
      <c r="J119" s="1" t="s">
        <v>711</v>
      </c>
      <c r="K119" s="1" t="s">
        <v>94</v>
      </c>
      <c r="L119" s="1" t="s">
        <v>712</v>
      </c>
      <c r="M119" s="1">
        <v>242</v>
      </c>
    </row>
    <row r="120" spans="2:13" ht="42.75" x14ac:dyDescent="0.2">
      <c r="B120" s="1" t="s">
        <v>703</v>
      </c>
      <c r="C120" s="1">
        <v>9</v>
      </c>
      <c r="D120" s="1" t="s">
        <v>713</v>
      </c>
      <c r="E120" s="1" t="s">
        <v>714</v>
      </c>
      <c r="F120" s="1" t="s">
        <v>715</v>
      </c>
      <c r="G120" s="1" t="s">
        <v>716</v>
      </c>
      <c r="H120" s="1" t="s">
        <v>717</v>
      </c>
      <c r="I120" s="1">
        <v>115</v>
      </c>
      <c r="J120" s="1" t="s">
        <v>716</v>
      </c>
      <c r="K120" s="1" t="s">
        <v>94</v>
      </c>
      <c r="L120" s="1" t="s">
        <v>717</v>
      </c>
      <c r="M120" s="1">
        <v>576</v>
      </c>
    </row>
    <row r="121" spans="2:13" ht="42.75" x14ac:dyDescent="0.2">
      <c r="B121" s="1" t="s">
        <v>703</v>
      </c>
      <c r="C121" s="1">
        <v>9</v>
      </c>
      <c r="D121" s="1" t="s">
        <v>703</v>
      </c>
      <c r="E121" s="1" t="s">
        <v>718</v>
      </c>
      <c r="F121" s="1" t="s">
        <v>719</v>
      </c>
      <c r="G121" s="1" t="s">
        <v>720</v>
      </c>
      <c r="H121" s="1" t="s">
        <v>721</v>
      </c>
      <c r="I121" s="1">
        <v>78</v>
      </c>
      <c r="J121" s="1" t="s">
        <v>718</v>
      </c>
      <c r="K121" s="1" t="s">
        <v>94</v>
      </c>
      <c r="L121" s="1" t="s">
        <v>719</v>
      </c>
      <c r="M121" s="1">
        <v>606</v>
      </c>
    </row>
    <row r="122" spans="2:13" ht="42.75" x14ac:dyDescent="0.2">
      <c r="B122" s="1" t="s">
        <v>722</v>
      </c>
      <c r="C122" s="1">
        <v>6</v>
      </c>
      <c r="D122" s="1" t="s">
        <v>723</v>
      </c>
      <c r="E122" s="1" t="s">
        <v>203</v>
      </c>
      <c r="F122" s="1" t="s">
        <v>724</v>
      </c>
      <c r="G122" s="1" t="s">
        <v>725</v>
      </c>
      <c r="H122" s="1" t="s">
        <v>726</v>
      </c>
      <c r="I122" s="1">
        <v>74</v>
      </c>
      <c r="J122" s="1" t="s">
        <v>203</v>
      </c>
      <c r="K122" s="1" t="s">
        <v>94</v>
      </c>
      <c r="L122" s="1" t="s">
        <v>724</v>
      </c>
      <c r="M122" s="1">
        <v>395</v>
      </c>
    </row>
    <row r="123" spans="2:13" ht="42.75" x14ac:dyDescent="0.2">
      <c r="B123" s="1" t="s">
        <v>722</v>
      </c>
      <c r="C123" s="1">
        <v>6</v>
      </c>
      <c r="D123" s="1" t="s">
        <v>727</v>
      </c>
      <c r="E123" s="1" t="s">
        <v>172</v>
      </c>
      <c r="F123" s="1" t="s">
        <v>728</v>
      </c>
      <c r="G123" s="1" t="s">
        <v>729</v>
      </c>
      <c r="H123" s="1" t="s">
        <v>730</v>
      </c>
      <c r="I123" s="1">
        <v>68</v>
      </c>
      <c r="J123" s="1" t="s">
        <v>172</v>
      </c>
      <c r="K123" s="1" t="s">
        <v>94</v>
      </c>
      <c r="L123" s="1" t="s">
        <v>728</v>
      </c>
      <c r="M123" s="1">
        <v>391</v>
      </c>
    </row>
    <row r="124" spans="2:13" ht="57" x14ac:dyDescent="0.2">
      <c r="B124" s="1" t="s">
        <v>722</v>
      </c>
      <c r="C124" s="1">
        <v>9</v>
      </c>
      <c r="D124" s="1" t="s">
        <v>731</v>
      </c>
      <c r="E124" s="1" t="s">
        <v>732</v>
      </c>
      <c r="F124" s="1" t="s">
        <v>733</v>
      </c>
      <c r="G124" s="1" t="s">
        <v>734</v>
      </c>
      <c r="H124" s="1" t="s">
        <v>735</v>
      </c>
      <c r="I124" s="1">
        <v>108</v>
      </c>
      <c r="J124" s="1" t="s">
        <v>736</v>
      </c>
      <c r="K124" s="1" t="s">
        <v>219</v>
      </c>
      <c r="L124" s="1" t="s">
        <v>737</v>
      </c>
      <c r="M124" s="1">
        <v>585</v>
      </c>
    </row>
    <row r="125" spans="2:13" ht="42.75" x14ac:dyDescent="0.2">
      <c r="B125" s="1" t="s">
        <v>722</v>
      </c>
      <c r="C125" s="1">
        <v>9</v>
      </c>
      <c r="D125" s="1" t="s">
        <v>738</v>
      </c>
      <c r="E125" s="1" t="s">
        <v>327</v>
      </c>
      <c r="F125" s="1" t="s">
        <v>739</v>
      </c>
      <c r="G125" s="1" t="s">
        <v>740</v>
      </c>
      <c r="H125" s="1" t="s">
        <v>741</v>
      </c>
      <c r="I125" s="1">
        <v>84</v>
      </c>
      <c r="J125" s="1" t="s">
        <v>740</v>
      </c>
      <c r="K125" s="1" t="s">
        <v>94</v>
      </c>
      <c r="L125" s="1" t="s">
        <v>741</v>
      </c>
      <c r="M125" s="1">
        <v>350</v>
      </c>
    </row>
    <row r="126" spans="2:13" ht="42.75" x14ac:dyDescent="0.2">
      <c r="B126" s="1" t="s">
        <v>722</v>
      </c>
      <c r="C126" s="1">
        <v>10</v>
      </c>
      <c r="D126" s="1" t="s">
        <v>742</v>
      </c>
      <c r="E126" s="1" t="s">
        <v>743</v>
      </c>
      <c r="F126" s="1" t="s">
        <v>744</v>
      </c>
      <c r="G126" s="1" t="s">
        <v>745</v>
      </c>
      <c r="H126" s="1" t="s">
        <v>746</v>
      </c>
      <c r="J126" s="1" t="s">
        <v>743</v>
      </c>
      <c r="K126" s="1" t="s">
        <v>94</v>
      </c>
      <c r="L126" s="1" t="s">
        <v>744</v>
      </c>
      <c r="M126" s="1">
        <v>724</v>
      </c>
    </row>
    <row r="127" spans="2:13" ht="57" x14ac:dyDescent="0.2">
      <c r="B127" s="1" t="s">
        <v>747</v>
      </c>
      <c r="C127" s="1">
        <v>6</v>
      </c>
      <c r="D127" s="1" t="s">
        <v>748</v>
      </c>
      <c r="E127" s="1" t="s">
        <v>749</v>
      </c>
      <c r="F127" s="1" t="s">
        <v>750</v>
      </c>
      <c r="G127" s="1" t="s">
        <v>751</v>
      </c>
      <c r="H127" s="1" t="s">
        <v>752</v>
      </c>
      <c r="I127" s="1">
        <v>65</v>
      </c>
      <c r="J127" s="1" t="s">
        <v>751</v>
      </c>
      <c r="K127" s="1" t="s">
        <v>94</v>
      </c>
      <c r="L127" s="1" t="s">
        <v>753</v>
      </c>
      <c r="M127" s="1">
        <v>341</v>
      </c>
    </row>
    <row r="128" spans="2:13" ht="57" x14ac:dyDescent="0.2">
      <c r="B128" s="1" t="s">
        <v>747</v>
      </c>
      <c r="C128" s="1">
        <v>6</v>
      </c>
      <c r="D128" s="1" t="s">
        <v>754</v>
      </c>
      <c r="E128" s="1" t="s">
        <v>755</v>
      </c>
      <c r="F128" s="1" t="s">
        <v>756</v>
      </c>
      <c r="G128" s="1" t="s">
        <v>757</v>
      </c>
      <c r="H128" s="1" t="s">
        <v>758</v>
      </c>
      <c r="I128" s="1">
        <v>79</v>
      </c>
      <c r="J128" s="1" t="s">
        <v>757</v>
      </c>
      <c r="K128" s="1" t="s">
        <v>88</v>
      </c>
      <c r="L128" s="1" t="s">
        <v>758</v>
      </c>
      <c r="M128" s="1">
        <v>423</v>
      </c>
    </row>
    <row r="129" spans="2:13" ht="57" x14ac:dyDescent="0.2">
      <c r="B129" s="1" t="s">
        <v>747</v>
      </c>
      <c r="C129" s="1">
        <v>6</v>
      </c>
      <c r="D129" s="1" t="s">
        <v>759</v>
      </c>
      <c r="E129" s="1" t="s">
        <v>760</v>
      </c>
      <c r="F129" s="1" t="s">
        <v>761</v>
      </c>
      <c r="G129" s="1" t="s">
        <v>762</v>
      </c>
      <c r="H129" s="1" t="s">
        <v>763</v>
      </c>
      <c r="I129" s="1">
        <v>76</v>
      </c>
      <c r="J129" s="1" t="s">
        <v>762</v>
      </c>
      <c r="K129" s="1" t="s">
        <v>88</v>
      </c>
      <c r="L129" s="1" t="s">
        <v>763</v>
      </c>
      <c r="M129" s="1">
        <v>243</v>
      </c>
    </row>
    <row r="130" spans="2:13" ht="42.75" x14ac:dyDescent="0.2">
      <c r="B130" s="1" t="s">
        <v>747</v>
      </c>
      <c r="C130" s="1">
        <v>7</v>
      </c>
      <c r="D130" s="1" t="s">
        <v>764</v>
      </c>
      <c r="E130" s="1" t="s">
        <v>765</v>
      </c>
      <c r="F130" s="1" t="s">
        <v>766</v>
      </c>
      <c r="G130" s="1" t="s">
        <v>767</v>
      </c>
      <c r="H130" s="1" t="s">
        <v>768</v>
      </c>
      <c r="J130" s="1" t="s">
        <v>767</v>
      </c>
      <c r="K130" s="1" t="s">
        <v>94</v>
      </c>
      <c r="L130" s="1" t="s">
        <v>768</v>
      </c>
      <c r="M130" s="1">
        <v>303</v>
      </c>
    </row>
    <row r="131" spans="2:13" ht="42.75" x14ac:dyDescent="0.2">
      <c r="B131" s="1" t="s">
        <v>747</v>
      </c>
      <c r="C131" s="1">
        <v>7</v>
      </c>
      <c r="D131" s="1" t="s">
        <v>769</v>
      </c>
      <c r="E131" s="1" t="s">
        <v>770</v>
      </c>
      <c r="F131" s="1" t="s">
        <v>771</v>
      </c>
      <c r="G131" s="1" t="s">
        <v>461</v>
      </c>
      <c r="H131" s="1" t="s">
        <v>772</v>
      </c>
      <c r="I131" s="1">
        <v>80</v>
      </c>
      <c r="J131" s="1" t="s">
        <v>770</v>
      </c>
      <c r="K131" s="1" t="s">
        <v>94</v>
      </c>
      <c r="L131" s="1" t="s">
        <v>771</v>
      </c>
      <c r="M131" s="1">
        <v>308</v>
      </c>
    </row>
    <row r="132" spans="2:13" ht="42.75" x14ac:dyDescent="0.2">
      <c r="B132" s="1" t="s">
        <v>747</v>
      </c>
      <c r="C132" s="1">
        <v>7</v>
      </c>
      <c r="D132" s="1" t="s">
        <v>773</v>
      </c>
      <c r="E132" s="1" t="s">
        <v>774</v>
      </c>
      <c r="F132" s="1" t="s">
        <v>775</v>
      </c>
      <c r="G132" s="1" t="s">
        <v>776</v>
      </c>
      <c r="H132" s="1" t="s">
        <v>777</v>
      </c>
      <c r="I132" s="1">
        <v>74</v>
      </c>
      <c r="J132" s="1" t="s">
        <v>205</v>
      </c>
      <c r="K132" s="1" t="s">
        <v>88</v>
      </c>
      <c r="L132" s="1" t="s">
        <v>778</v>
      </c>
      <c r="M132" s="1">
        <v>350</v>
      </c>
    </row>
    <row r="133" spans="2:13" ht="57" x14ac:dyDescent="0.2">
      <c r="B133" s="1" t="s">
        <v>747</v>
      </c>
      <c r="C133" s="1">
        <v>9</v>
      </c>
      <c r="D133" s="1" t="s">
        <v>779</v>
      </c>
      <c r="E133" s="1" t="s">
        <v>780</v>
      </c>
      <c r="F133" s="1" t="s">
        <v>781</v>
      </c>
      <c r="G133" s="1" t="s">
        <v>782</v>
      </c>
      <c r="H133" s="1" t="s">
        <v>783</v>
      </c>
      <c r="J133" s="1" t="s">
        <v>782</v>
      </c>
      <c r="K133" s="1" t="s">
        <v>94</v>
      </c>
      <c r="L133" s="1" t="s">
        <v>783</v>
      </c>
      <c r="M133" s="1">
        <v>671</v>
      </c>
    </row>
    <row r="134" spans="2:13" ht="42.75" x14ac:dyDescent="0.2">
      <c r="B134" s="1" t="s">
        <v>747</v>
      </c>
      <c r="C134" s="1">
        <v>9</v>
      </c>
      <c r="D134" s="1" t="s">
        <v>784</v>
      </c>
      <c r="E134" s="1" t="s">
        <v>785</v>
      </c>
      <c r="F134" s="1" t="s">
        <v>786</v>
      </c>
      <c r="G134" s="1" t="s">
        <v>787</v>
      </c>
      <c r="H134" s="1" t="s">
        <v>788</v>
      </c>
      <c r="I134" s="1">
        <v>112</v>
      </c>
      <c r="J134" s="1" t="s">
        <v>785</v>
      </c>
      <c r="K134" s="1" t="s">
        <v>94</v>
      </c>
      <c r="L134" s="1" t="s">
        <v>786</v>
      </c>
      <c r="M134" s="1">
        <v>639</v>
      </c>
    </row>
    <row r="135" spans="2:13" ht="57" x14ac:dyDescent="0.2">
      <c r="B135" s="1" t="s">
        <v>747</v>
      </c>
      <c r="C135" s="1">
        <v>9</v>
      </c>
      <c r="D135" s="1" t="s">
        <v>789</v>
      </c>
      <c r="E135" s="1" t="s">
        <v>790</v>
      </c>
      <c r="F135" s="1" t="s">
        <v>791</v>
      </c>
      <c r="G135" s="1" t="s">
        <v>302</v>
      </c>
      <c r="H135" s="1" t="s">
        <v>792</v>
      </c>
      <c r="I135" s="1">
        <v>112</v>
      </c>
      <c r="J135" s="1" t="s">
        <v>302</v>
      </c>
      <c r="K135" s="1" t="s">
        <v>94</v>
      </c>
      <c r="L135" s="1" t="s">
        <v>792</v>
      </c>
      <c r="M135" s="1">
        <v>530</v>
      </c>
    </row>
    <row r="136" spans="2:13" ht="42.75" x14ac:dyDescent="0.2">
      <c r="B136" s="1" t="s">
        <v>747</v>
      </c>
      <c r="C136" s="1">
        <v>9</v>
      </c>
      <c r="D136" s="1" t="s">
        <v>793</v>
      </c>
      <c r="E136" s="1" t="s">
        <v>794</v>
      </c>
      <c r="F136" s="1" t="s">
        <v>795</v>
      </c>
      <c r="G136" s="1" t="s">
        <v>796</v>
      </c>
      <c r="H136" s="1" t="s">
        <v>797</v>
      </c>
      <c r="I136" s="1">
        <v>87</v>
      </c>
      <c r="J136" s="1" t="s">
        <v>794</v>
      </c>
      <c r="K136" s="1" t="s">
        <v>94</v>
      </c>
      <c r="L136" s="1" t="s">
        <v>795</v>
      </c>
      <c r="M136" s="1">
        <v>603</v>
      </c>
    </row>
    <row r="137" spans="2:13" ht="42.75" x14ac:dyDescent="0.2">
      <c r="B137" s="1" t="s">
        <v>747</v>
      </c>
      <c r="C137" s="1">
        <v>10</v>
      </c>
      <c r="D137" s="1" t="s">
        <v>798</v>
      </c>
      <c r="E137" s="1" t="s">
        <v>799</v>
      </c>
      <c r="F137" s="1" t="s">
        <v>800</v>
      </c>
      <c r="G137" s="1" t="s">
        <v>801</v>
      </c>
      <c r="H137" s="1" t="s">
        <v>802</v>
      </c>
      <c r="I137" s="1">
        <v>0</v>
      </c>
      <c r="J137" s="1" t="s">
        <v>527</v>
      </c>
      <c r="K137" s="1" t="s">
        <v>94</v>
      </c>
      <c r="L137" s="1">
        <v>0</v>
      </c>
      <c r="M137" s="1">
        <v>527</v>
      </c>
    </row>
    <row r="138" spans="2:13" ht="42.75" x14ac:dyDescent="0.2">
      <c r="B138" s="1" t="s">
        <v>747</v>
      </c>
      <c r="C138" s="1">
        <v>10</v>
      </c>
      <c r="D138" s="1" t="s">
        <v>803</v>
      </c>
      <c r="E138" s="1" t="s">
        <v>804</v>
      </c>
      <c r="F138" s="1" t="s">
        <v>805</v>
      </c>
      <c r="G138" s="1" t="s">
        <v>806</v>
      </c>
      <c r="H138" s="1" t="s">
        <v>807</v>
      </c>
      <c r="I138" s="1">
        <v>90</v>
      </c>
      <c r="J138" s="1" t="s">
        <v>808</v>
      </c>
      <c r="K138" s="1" t="s">
        <v>94</v>
      </c>
      <c r="L138" s="1">
        <v>0</v>
      </c>
      <c r="M138" s="1">
        <v>730</v>
      </c>
    </row>
    <row r="139" spans="2:13" ht="28.5" x14ac:dyDescent="0.2">
      <c r="B139" s="1" t="s">
        <v>809</v>
      </c>
      <c r="C139" s="1">
        <v>6</v>
      </c>
      <c r="D139" s="1" t="s">
        <v>810</v>
      </c>
      <c r="E139" s="1" t="s">
        <v>811</v>
      </c>
      <c r="F139" s="1" t="s">
        <v>812</v>
      </c>
      <c r="G139" s="1" t="s">
        <v>813</v>
      </c>
      <c r="H139" s="1" t="s">
        <v>814</v>
      </c>
      <c r="J139" s="1" t="s">
        <v>815</v>
      </c>
      <c r="K139" s="1" t="s">
        <v>88</v>
      </c>
      <c r="L139" s="1" t="s">
        <v>816</v>
      </c>
      <c r="M139" s="1">
        <v>319</v>
      </c>
    </row>
    <row r="140" spans="2:13" ht="42.75" x14ac:dyDescent="0.2">
      <c r="B140" s="1" t="s">
        <v>809</v>
      </c>
      <c r="C140" s="1">
        <v>6</v>
      </c>
      <c r="D140" s="1" t="s">
        <v>817</v>
      </c>
      <c r="E140" s="1" t="s">
        <v>215</v>
      </c>
      <c r="F140" s="1" t="s">
        <v>818</v>
      </c>
      <c r="G140" s="1" t="s">
        <v>819</v>
      </c>
      <c r="H140" s="1" t="s">
        <v>820</v>
      </c>
      <c r="I140" s="1">
        <v>62</v>
      </c>
      <c r="J140" s="1" t="s">
        <v>215</v>
      </c>
      <c r="K140" s="1" t="s">
        <v>94</v>
      </c>
      <c r="L140" s="1" t="s">
        <v>818</v>
      </c>
      <c r="M140" s="1">
        <v>287</v>
      </c>
    </row>
    <row r="141" spans="2:13" ht="57" x14ac:dyDescent="0.2">
      <c r="B141" s="1" t="s">
        <v>809</v>
      </c>
      <c r="C141" s="1">
        <v>6</v>
      </c>
      <c r="D141" s="1" t="s">
        <v>821</v>
      </c>
      <c r="E141" s="1" t="s">
        <v>411</v>
      </c>
      <c r="F141" s="1" t="s">
        <v>822</v>
      </c>
      <c r="G141" s="1" t="s">
        <v>823</v>
      </c>
      <c r="H141" s="1" t="s">
        <v>824</v>
      </c>
      <c r="I141" s="1">
        <v>89</v>
      </c>
      <c r="J141" s="1" t="s">
        <v>823</v>
      </c>
      <c r="K141" s="1" t="s">
        <v>88</v>
      </c>
      <c r="L141" s="1" t="s">
        <v>824</v>
      </c>
      <c r="M141" s="1">
        <v>203</v>
      </c>
    </row>
    <row r="142" spans="2:13" ht="42.75" x14ac:dyDescent="0.2">
      <c r="B142" s="1" t="s">
        <v>809</v>
      </c>
      <c r="C142" s="1">
        <v>7</v>
      </c>
      <c r="D142" s="1" t="s">
        <v>825</v>
      </c>
      <c r="E142" s="1" t="s">
        <v>826</v>
      </c>
      <c r="F142" s="1" t="s">
        <v>827</v>
      </c>
      <c r="G142" s="1" t="s">
        <v>828</v>
      </c>
      <c r="H142" s="1" t="s">
        <v>829</v>
      </c>
      <c r="I142" s="1">
        <v>65</v>
      </c>
      <c r="J142" s="1" t="s">
        <v>826</v>
      </c>
      <c r="K142" s="1" t="s">
        <v>94</v>
      </c>
      <c r="L142" s="1" t="s">
        <v>827</v>
      </c>
      <c r="M142" s="1">
        <v>368</v>
      </c>
    </row>
    <row r="143" spans="2:13" ht="42.75" x14ac:dyDescent="0.2">
      <c r="B143" s="1" t="s">
        <v>809</v>
      </c>
      <c r="C143" s="1">
        <v>8</v>
      </c>
      <c r="D143" s="1" t="s">
        <v>830</v>
      </c>
      <c r="E143" s="1" t="s">
        <v>831</v>
      </c>
      <c r="F143" s="1" t="s">
        <v>832</v>
      </c>
      <c r="G143" s="1" t="s">
        <v>833</v>
      </c>
      <c r="H143" s="1" t="s">
        <v>834</v>
      </c>
      <c r="I143" s="1">
        <v>88</v>
      </c>
      <c r="J143" s="1" t="s">
        <v>833</v>
      </c>
      <c r="K143" s="1" t="s">
        <v>94</v>
      </c>
      <c r="L143" s="1" t="s">
        <v>834</v>
      </c>
      <c r="M143" s="1">
        <v>762</v>
      </c>
    </row>
    <row r="144" spans="2:13" ht="42.75" x14ac:dyDescent="0.2">
      <c r="B144" s="1" t="s">
        <v>809</v>
      </c>
      <c r="C144" s="1">
        <v>10</v>
      </c>
      <c r="D144" s="1" t="s">
        <v>835</v>
      </c>
      <c r="E144" s="1" t="s">
        <v>836</v>
      </c>
      <c r="F144" s="1" t="s">
        <v>837</v>
      </c>
      <c r="G144" s="1" t="s">
        <v>838</v>
      </c>
      <c r="H144" s="1" t="s">
        <v>839</v>
      </c>
      <c r="I144" s="1">
        <v>0</v>
      </c>
      <c r="J144" s="1" t="s">
        <v>840</v>
      </c>
      <c r="K144" s="1" t="s">
        <v>94</v>
      </c>
      <c r="L144" s="1">
        <v>0</v>
      </c>
      <c r="M144" s="1">
        <v>635</v>
      </c>
    </row>
    <row r="145" spans="2:14" ht="42.75" x14ac:dyDescent="0.2">
      <c r="B145" s="1" t="s">
        <v>809</v>
      </c>
      <c r="C145" s="1">
        <v>10</v>
      </c>
      <c r="D145" s="1" t="s">
        <v>841</v>
      </c>
      <c r="E145" s="1" t="s">
        <v>842</v>
      </c>
      <c r="F145" s="1" t="s">
        <v>843</v>
      </c>
      <c r="G145" s="1" t="s">
        <v>844</v>
      </c>
      <c r="H145" s="1" t="s">
        <v>845</v>
      </c>
      <c r="I145" s="1">
        <v>0</v>
      </c>
      <c r="J145" s="1" t="s">
        <v>846</v>
      </c>
      <c r="K145" s="1" t="s">
        <v>94</v>
      </c>
      <c r="L145" s="1">
        <v>0</v>
      </c>
      <c r="M145" s="1">
        <v>702</v>
      </c>
    </row>
    <row r="146" spans="2:14" ht="42.75" x14ac:dyDescent="0.2">
      <c r="B146" s="1" t="s">
        <v>809</v>
      </c>
      <c r="C146" s="1">
        <v>10</v>
      </c>
      <c r="D146" s="1" t="s">
        <v>847</v>
      </c>
      <c r="E146" s="1" t="s">
        <v>848</v>
      </c>
      <c r="F146" s="1" t="s">
        <v>849</v>
      </c>
      <c r="G146" s="1" t="s">
        <v>850</v>
      </c>
      <c r="H146" s="1" t="s">
        <v>851</v>
      </c>
      <c r="I146" s="1">
        <v>129</v>
      </c>
      <c r="J146" s="1" t="s">
        <v>850</v>
      </c>
      <c r="K146" s="1" t="s">
        <v>94</v>
      </c>
      <c r="L146" s="1" t="s">
        <v>851</v>
      </c>
      <c r="M146" s="1">
        <v>902</v>
      </c>
    </row>
    <row r="147" spans="2:14" ht="42.75" x14ac:dyDescent="0.2">
      <c r="B147" s="1" t="s">
        <v>852</v>
      </c>
      <c r="C147" s="1">
        <v>6</v>
      </c>
      <c r="D147" s="1" t="s">
        <v>853</v>
      </c>
      <c r="E147" s="1" t="s">
        <v>854</v>
      </c>
      <c r="F147" s="1" t="s">
        <v>855</v>
      </c>
      <c r="G147" s="1" t="s">
        <v>856</v>
      </c>
      <c r="H147" s="1" t="s">
        <v>857</v>
      </c>
      <c r="I147" s="1">
        <v>101</v>
      </c>
      <c r="J147" s="1" t="s">
        <v>854</v>
      </c>
      <c r="K147" s="1" t="s">
        <v>88</v>
      </c>
      <c r="L147" s="1" t="s">
        <v>855</v>
      </c>
      <c r="M147" s="1">
        <v>315</v>
      </c>
    </row>
    <row r="148" spans="2:14" ht="42.75" x14ac:dyDescent="0.2">
      <c r="B148" s="1" t="s">
        <v>852</v>
      </c>
      <c r="C148" s="1">
        <v>6</v>
      </c>
      <c r="D148" s="1" t="s">
        <v>858</v>
      </c>
      <c r="E148" s="1" t="s">
        <v>859</v>
      </c>
      <c r="F148" s="1" t="s">
        <v>860</v>
      </c>
      <c r="G148" s="1" t="s">
        <v>740</v>
      </c>
      <c r="H148" s="1" t="s">
        <v>861</v>
      </c>
      <c r="I148" s="1">
        <v>65</v>
      </c>
      <c r="J148" s="1" t="s">
        <v>859</v>
      </c>
      <c r="K148" s="1" t="s">
        <v>88</v>
      </c>
      <c r="L148" s="1" t="s">
        <v>860</v>
      </c>
      <c r="M148" s="1">
        <v>275</v>
      </c>
    </row>
    <row r="149" spans="2:14" ht="42.75" x14ac:dyDescent="0.2">
      <c r="B149" s="1" t="s">
        <v>852</v>
      </c>
      <c r="C149" s="1">
        <v>6</v>
      </c>
      <c r="D149" s="1" t="s">
        <v>862</v>
      </c>
      <c r="E149" s="1" t="s">
        <v>863</v>
      </c>
      <c r="F149" s="1" t="s">
        <v>864</v>
      </c>
      <c r="G149" s="1" t="s">
        <v>865</v>
      </c>
      <c r="H149" s="1" t="s">
        <v>866</v>
      </c>
      <c r="I149" s="1">
        <v>67</v>
      </c>
      <c r="J149" s="1" t="s">
        <v>863</v>
      </c>
      <c r="K149" s="1" t="s">
        <v>94</v>
      </c>
      <c r="L149" s="1" t="s">
        <v>864</v>
      </c>
      <c r="M149" s="1">
        <v>350</v>
      </c>
    </row>
    <row r="150" spans="2:14" ht="42.75" x14ac:dyDescent="0.2">
      <c r="B150" s="1" t="s">
        <v>852</v>
      </c>
      <c r="C150" s="1">
        <v>6</v>
      </c>
      <c r="D150" s="1" t="s">
        <v>867</v>
      </c>
      <c r="E150" s="1" t="s">
        <v>868</v>
      </c>
      <c r="F150" s="1" t="s">
        <v>869</v>
      </c>
      <c r="G150" s="1" t="s">
        <v>870</v>
      </c>
      <c r="H150" s="1" t="s">
        <v>871</v>
      </c>
      <c r="I150" s="1">
        <v>76</v>
      </c>
      <c r="J150" s="1" t="s">
        <v>868</v>
      </c>
      <c r="K150" s="1" t="s">
        <v>88</v>
      </c>
      <c r="L150" s="1" t="s">
        <v>869</v>
      </c>
      <c r="M150" s="1">
        <v>199</v>
      </c>
    </row>
    <row r="151" spans="2:14" ht="42.75" x14ac:dyDescent="0.2">
      <c r="B151" s="1" t="s">
        <v>852</v>
      </c>
      <c r="C151" s="1">
        <v>6</v>
      </c>
      <c r="D151" s="1" t="s">
        <v>872</v>
      </c>
      <c r="E151" s="1" t="s">
        <v>873</v>
      </c>
      <c r="F151" s="1" t="s">
        <v>874</v>
      </c>
      <c r="G151" s="1" t="s">
        <v>875</v>
      </c>
      <c r="H151" s="1" t="s">
        <v>876</v>
      </c>
      <c r="I151" s="1">
        <v>76</v>
      </c>
      <c r="J151" s="1" t="s">
        <v>875</v>
      </c>
      <c r="K151" s="1" t="s">
        <v>88</v>
      </c>
      <c r="L151" s="1" t="s">
        <v>876</v>
      </c>
      <c r="M151" s="1">
        <v>281</v>
      </c>
    </row>
    <row r="152" spans="2:14" ht="42.75" x14ac:dyDescent="0.2">
      <c r="B152" s="1" t="s">
        <v>852</v>
      </c>
      <c r="C152" s="1">
        <v>6</v>
      </c>
      <c r="D152" s="1" t="s">
        <v>877</v>
      </c>
      <c r="E152" s="1" t="s">
        <v>878</v>
      </c>
      <c r="F152" s="1" t="s">
        <v>879</v>
      </c>
      <c r="G152" s="1" t="s">
        <v>880</v>
      </c>
      <c r="H152" s="1" t="s">
        <v>881</v>
      </c>
      <c r="I152" s="1">
        <v>73</v>
      </c>
      <c r="J152" s="1" t="s">
        <v>878</v>
      </c>
      <c r="K152" s="1" t="s">
        <v>88</v>
      </c>
      <c r="L152" s="1" t="s">
        <v>879</v>
      </c>
      <c r="M152" s="1">
        <v>238</v>
      </c>
    </row>
    <row r="153" spans="2:14" ht="42.75" x14ac:dyDescent="0.2">
      <c r="B153" s="1" t="s">
        <v>852</v>
      </c>
      <c r="C153" s="1">
        <v>6</v>
      </c>
      <c r="D153" s="1" t="s">
        <v>882</v>
      </c>
      <c r="E153" s="1" t="s">
        <v>883</v>
      </c>
      <c r="F153" s="1" t="s">
        <v>884</v>
      </c>
      <c r="G153" s="1" t="s">
        <v>393</v>
      </c>
      <c r="H153" s="1" t="s">
        <v>885</v>
      </c>
      <c r="I153" s="1">
        <v>69</v>
      </c>
      <c r="J153" s="1" t="s">
        <v>883</v>
      </c>
      <c r="K153" s="1" t="s">
        <v>88</v>
      </c>
      <c r="L153" s="1" t="s">
        <v>884</v>
      </c>
      <c r="M153" s="1">
        <v>228</v>
      </c>
    </row>
    <row r="154" spans="2:14" ht="42.75" x14ac:dyDescent="0.2">
      <c r="B154" s="1" t="s">
        <v>852</v>
      </c>
      <c r="C154" s="1">
        <v>6</v>
      </c>
      <c r="D154" s="1" t="s">
        <v>886</v>
      </c>
      <c r="E154" s="1" t="s">
        <v>887</v>
      </c>
      <c r="F154" s="1" t="s">
        <v>888</v>
      </c>
      <c r="G154" s="1" t="s">
        <v>889</v>
      </c>
      <c r="H154" s="1" t="s">
        <v>890</v>
      </c>
      <c r="I154" s="1">
        <v>78</v>
      </c>
      <c r="J154" s="1" t="s">
        <v>889</v>
      </c>
      <c r="K154" s="1" t="s">
        <v>94</v>
      </c>
      <c r="L154" s="1" t="s">
        <v>890</v>
      </c>
      <c r="M154" s="1">
        <v>495</v>
      </c>
    </row>
    <row r="155" spans="2:14" ht="42.75" x14ac:dyDescent="0.2">
      <c r="B155" s="1" t="s">
        <v>852</v>
      </c>
      <c r="C155" s="1">
        <v>7</v>
      </c>
      <c r="D155" s="1" t="s">
        <v>891</v>
      </c>
      <c r="E155" s="1" t="s">
        <v>757</v>
      </c>
      <c r="F155" s="1" t="s">
        <v>892</v>
      </c>
      <c r="G155" s="1" t="s">
        <v>893</v>
      </c>
      <c r="H155" s="1" t="s">
        <v>894</v>
      </c>
      <c r="I155" s="1">
        <v>81</v>
      </c>
      <c r="J155" s="1" t="s">
        <v>757</v>
      </c>
      <c r="K155" s="1" t="s">
        <v>94</v>
      </c>
      <c r="L155" s="1" t="s">
        <v>892</v>
      </c>
      <c r="M155" s="1">
        <v>620</v>
      </c>
    </row>
    <row r="156" spans="2:14" ht="42.75" x14ac:dyDescent="0.2">
      <c r="B156" s="1" t="s">
        <v>852</v>
      </c>
      <c r="C156" s="1">
        <v>8</v>
      </c>
      <c r="D156" s="1" t="s">
        <v>895</v>
      </c>
      <c r="E156" s="1" t="s">
        <v>896</v>
      </c>
      <c r="F156" s="1" t="s">
        <v>897</v>
      </c>
      <c r="G156" s="1" t="s">
        <v>898</v>
      </c>
      <c r="H156" s="1" t="s">
        <v>899</v>
      </c>
      <c r="I156" s="1">
        <v>85</v>
      </c>
      <c r="J156" s="1" t="s">
        <v>896</v>
      </c>
      <c r="K156" s="1" t="s">
        <v>94</v>
      </c>
      <c r="L156" s="1" t="s">
        <v>897</v>
      </c>
      <c r="M156" s="1">
        <v>539</v>
      </c>
    </row>
    <row r="157" spans="2:14" ht="42.75" x14ac:dyDescent="0.2">
      <c r="B157" s="1" t="s">
        <v>852</v>
      </c>
      <c r="C157" s="1">
        <v>8</v>
      </c>
      <c r="D157" s="1" t="s">
        <v>900</v>
      </c>
      <c r="E157" s="1" t="s">
        <v>901</v>
      </c>
      <c r="F157" s="1" t="s">
        <v>902</v>
      </c>
      <c r="G157" s="1" t="s">
        <v>221</v>
      </c>
      <c r="H157" s="1" t="s">
        <v>903</v>
      </c>
      <c r="I157" s="1">
        <v>66</v>
      </c>
      <c r="J157" s="1" t="s">
        <v>901</v>
      </c>
      <c r="K157" s="1" t="s">
        <v>94</v>
      </c>
      <c r="L157" s="1" t="s">
        <v>902</v>
      </c>
      <c r="M157" s="1">
        <v>353</v>
      </c>
    </row>
    <row r="158" spans="2:14" ht="28.5" x14ac:dyDescent="0.2">
      <c r="B158" s="1" t="s">
        <v>852</v>
      </c>
      <c r="C158" s="1">
        <v>9</v>
      </c>
      <c r="D158" s="1" t="s">
        <v>904</v>
      </c>
      <c r="E158" s="1" t="s">
        <v>905</v>
      </c>
      <c r="F158" s="1" t="s">
        <v>906</v>
      </c>
      <c r="G158" s="1" t="s">
        <v>907</v>
      </c>
      <c r="H158" s="1" t="s">
        <v>908</v>
      </c>
      <c r="J158" s="1" t="s">
        <v>907</v>
      </c>
      <c r="K158" s="1" t="s">
        <v>94</v>
      </c>
      <c r="L158" s="1" t="s">
        <v>908</v>
      </c>
      <c r="M158" s="1">
        <v>513</v>
      </c>
    </row>
    <row r="159" spans="2:14" ht="42.75" x14ac:dyDescent="0.2">
      <c r="B159" s="1" t="s">
        <v>852</v>
      </c>
      <c r="C159" s="1">
        <v>9</v>
      </c>
      <c r="D159" s="1" t="s">
        <v>909</v>
      </c>
      <c r="E159" s="1" t="s">
        <v>562</v>
      </c>
      <c r="F159" s="1" t="s">
        <v>910</v>
      </c>
      <c r="G159" s="1" t="s">
        <v>911</v>
      </c>
      <c r="H159" s="1" t="s">
        <v>912</v>
      </c>
      <c r="I159" s="1">
        <v>88</v>
      </c>
      <c r="J159" s="1" t="s">
        <v>562</v>
      </c>
      <c r="K159" s="1" t="s">
        <v>94</v>
      </c>
      <c r="L159" s="1" t="s">
        <v>910</v>
      </c>
      <c r="M159" s="1">
        <v>571</v>
      </c>
      <c r="N159" s="1" t="s">
        <v>913</v>
      </c>
    </row>
    <row r="160" spans="2:14" ht="57" x14ac:dyDescent="0.2">
      <c r="B160" s="1" t="s">
        <v>852</v>
      </c>
      <c r="C160" s="1">
        <v>9</v>
      </c>
      <c r="D160" s="1" t="s">
        <v>914</v>
      </c>
      <c r="E160" s="1" t="s">
        <v>915</v>
      </c>
      <c r="F160" s="1" t="s">
        <v>916</v>
      </c>
      <c r="G160" s="1" t="s">
        <v>917</v>
      </c>
      <c r="H160" s="1" t="s">
        <v>918</v>
      </c>
      <c r="I160" s="1">
        <v>107</v>
      </c>
      <c r="J160" s="1" t="s">
        <v>915</v>
      </c>
      <c r="K160" s="1" t="s">
        <v>94</v>
      </c>
      <c r="L160" s="1" t="s">
        <v>916</v>
      </c>
      <c r="M160" s="1">
        <v>723</v>
      </c>
    </row>
    <row r="161" spans="2:14" ht="57" x14ac:dyDescent="0.2">
      <c r="B161" s="1" t="s">
        <v>852</v>
      </c>
      <c r="C161" s="1">
        <v>9</v>
      </c>
      <c r="D161" s="1" t="s">
        <v>919</v>
      </c>
      <c r="E161" s="1" t="s">
        <v>920</v>
      </c>
      <c r="F161" s="1" t="s">
        <v>921</v>
      </c>
      <c r="G161" s="1" t="s">
        <v>922</v>
      </c>
      <c r="H161" s="1" t="s">
        <v>923</v>
      </c>
      <c r="I161" s="1">
        <v>93</v>
      </c>
      <c r="J161" s="1" t="s">
        <v>924</v>
      </c>
      <c r="K161" s="1" t="s">
        <v>94</v>
      </c>
      <c r="L161" s="1" t="s">
        <v>925</v>
      </c>
      <c r="M161" s="1">
        <v>631</v>
      </c>
    </row>
    <row r="162" spans="2:14" ht="57" x14ac:dyDescent="0.2">
      <c r="B162" s="1" t="s">
        <v>852</v>
      </c>
      <c r="C162" s="1">
        <v>10</v>
      </c>
      <c r="D162" s="1" t="s">
        <v>926</v>
      </c>
      <c r="E162" s="1" t="s">
        <v>927</v>
      </c>
      <c r="F162" s="1" t="s">
        <v>928</v>
      </c>
      <c r="G162" s="1" t="s">
        <v>929</v>
      </c>
      <c r="H162" s="1" t="s">
        <v>930</v>
      </c>
      <c r="I162" s="1">
        <v>113</v>
      </c>
      <c r="J162" s="1" t="s">
        <v>927</v>
      </c>
      <c r="K162" s="1" t="s">
        <v>94</v>
      </c>
      <c r="L162" s="1" t="s">
        <v>928</v>
      </c>
      <c r="M162" s="1">
        <v>451</v>
      </c>
    </row>
    <row r="163" spans="2:14" ht="57" x14ac:dyDescent="0.2">
      <c r="B163" s="1" t="s">
        <v>931</v>
      </c>
      <c r="C163" s="1">
        <v>6</v>
      </c>
      <c r="D163" s="1" t="s">
        <v>932</v>
      </c>
      <c r="E163" s="1" t="s">
        <v>411</v>
      </c>
      <c r="F163" s="1" t="s">
        <v>933</v>
      </c>
      <c r="G163" s="1" t="s">
        <v>934</v>
      </c>
      <c r="H163" s="1" t="s">
        <v>935</v>
      </c>
      <c r="I163" s="1">
        <v>60</v>
      </c>
      <c r="J163" s="1" t="s">
        <v>934</v>
      </c>
      <c r="K163" s="1" t="s">
        <v>219</v>
      </c>
      <c r="L163" s="1" t="s">
        <v>936</v>
      </c>
      <c r="M163" s="1">
        <v>246</v>
      </c>
    </row>
    <row r="164" spans="2:14" ht="42.75" x14ac:dyDescent="0.2">
      <c r="B164" s="1" t="s">
        <v>931</v>
      </c>
      <c r="C164" s="1">
        <v>6</v>
      </c>
      <c r="D164" s="1" t="s">
        <v>937</v>
      </c>
      <c r="E164" s="1" t="s">
        <v>938</v>
      </c>
      <c r="F164" s="1" t="s">
        <v>939</v>
      </c>
      <c r="G164" s="1" t="s">
        <v>929</v>
      </c>
      <c r="H164" s="1" t="s">
        <v>940</v>
      </c>
      <c r="I164" s="1">
        <v>84</v>
      </c>
      <c r="J164" s="1" t="s">
        <v>929</v>
      </c>
      <c r="K164" s="1" t="s">
        <v>94</v>
      </c>
      <c r="L164" s="1" t="s">
        <v>940</v>
      </c>
      <c r="M164" s="1">
        <v>264</v>
      </c>
    </row>
    <row r="165" spans="2:14" ht="57" x14ac:dyDescent="0.2">
      <c r="B165" s="1" t="s">
        <v>931</v>
      </c>
      <c r="C165" s="1">
        <v>6</v>
      </c>
      <c r="D165" s="1" t="s">
        <v>941</v>
      </c>
      <c r="E165" s="1" t="s">
        <v>942</v>
      </c>
      <c r="F165" s="1" t="s">
        <v>943</v>
      </c>
      <c r="G165" s="1" t="s">
        <v>217</v>
      </c>
      <c r="H165" s="1" t="s">
        <v>944</v>
      </c>
      <c r="I165" s="1">
        <v>68</v>
      </c>
      <c r="J165" s="1" t="s">
        <v>217</v>
      </c>
      <c r="K165" s="1" t="s">
        <v>88</v>
      </c>
      <c r="L165" s="1" t="s">
        <v>944</v>
      </c>
      <c r="M165" s="1">
        <v>273</v>
      </c>
    </row>
    <row r="166" spans="2:14" ht="42.75" x14ac:dyDescent="0.2">
      <c r="B166" s="1" t="s">
        <v>931</v>
      </c>
      <c r="C166" s="1">
        <v>6</v>
      </c>
      <c r="D166" s="1" t="s">
        <v>945</v>
      </c>
      <c r="E166" s="1" t="s">
        <v>946</v>
      </c>
      <c r="F166" s="1" t="s">
        <v>947</v>
      </c>
      <c r="G166" s="1" t="s">
        <v>948</v>
      </c>
      <c r="H166" s="1" t="s">
        <v>949</v>
      </c>
      <c r="I166" s="1">
        <v>75</v>
      </c>
      <c r="J166" s="1" t="s">
        <v>946</v>
      </c>
      <c r="K166" s="1" t="s">
        <v>88</v>
      </c>
      <c r="L166" s="1" t="s">
        <v>947</v>
      </c>
      <c r="M166" s="1">
        <v>272</v>
      </c>
    </row>
    <row r="167" spans="2:14" ht="42.75" x14ac:dyDescent="0.2">
      <c r="B167" s="1" t="s">
        <v>931</v>
      </c>
      <c r="C167" s="1">
        <v>6</v>
      </c>
      <c r="D167" s="1" t="s">
        <v>950</v>
      </c>
      <c r="E167" s="1" t="s">
        <v>951</v>
      </c>
      <c r="F167" s="1" t="s">
        <v>952</v>
      </c>
      <c r="G167" s="1" t="s">
        <v>953</v>
      </c>
      <c r="H167" s="1" t="s">
        <v>954</v>
      </c>
      <c r="I167" s="1">
        <v>76</v>
      </c>
      <c r="J167" s="1" t="s">
        <v>953</v>
      </c>
      <c r="K167" s="1" t="s">
        <v>219</v>
      </c>
      <c r="L167" s="1" t="s">
        <v>954</v>
      </c>
      <c r="M167" s="1">
        <v>454</v>
      </c>
    </row>
    <row r="168" spans="2:14" ht="42.75" x14ac:dyDescent="0.2">
      <c r="B168" s="1" t="s">
        <v>931</v>
      </c>
      <c r="C168" s="1">
        <v>7</v>
      </c>
      <c r="D168" s="1" t="s">
        <v>955</v>
      </c>
      <c r="E168" s="1" t="s">
        <v>956</v>
      </c>
      <c r="F168" s="1" t="s">
        <v>957</v>
      </c>
      <c r="G168" s="1" t="s">
        <v>958</v>
      </c>
      <c r="H168" s="1" t="s">
        <v>959</v>
      </c>
      <c r="I168" s="1">
        <v>60</v>
      </c>
      <c r="J168" s="1" t="s">
        <v>958</v>
      </c>
      <c r="K168" s="1" t="s">
        <v>88</v>
      </c>
      <c r="L168" s="1" t="s">
        <v>959</v>
      </c>
      <c r="M168" s="1">
        <v>352</v>
      </c>
    </row>
    <row r="169" spans="2:14" ht="42.75" x14ac:dyDescent="0.2">
      <c r="B169" s="1" t="s">
        <v>931</v>
      </c>
      <c r="C169" s="1">
        <v>7</v>
      </c>
      <c r="D169" s="1" t="s">
        <v>960</v>
      </c>
      <c r="E169" s="1" t="s">
        <v>228</v>
      </c>
      <c r="F169" s="1" t="s">
        <v>961</v>
      </c>
      <c r="G169" s="1" t="s">
        <v>962</v>
      </c>
      <c r="H169" s="1" t="s">
        <v>963</v>
      </c>
      <c r="I169" s="1">
        <v>64</v>
      </c>
      <c r="J169" s="1" t="s">
        <v>962</v>
      </c>
      <c r="K169" s="1" t="s">
        <v>94</v>
      </c>
      <c r="L169" s="1" t="s">
        <v>963</v>
      </c>
      <c r="M169" s="1">
        <v>337</v>
      </c>
    </row>
    <row r="170" spans="2:14" ht="42.75" x14ac:dyDescent="0.2">
      <c r="B170" s="1" t="s">
        <v>931</v>
      </c>
      <c r="C170" s="1">
        <v>8</v>
      </c>
      <c r="D170" s="1" t="s">
        <v>964</v>
      </c>
      <c r="E170" s="1" t="s">
        <v>965</v>
      </c>
      <c r="F170" s="1" t="s">
        <v>966</v>
      </c>
      <c r="G170" s="1" t="s">
        <v>967</v>
      </c>
      <c r="H170" s="1" t="s">
        <v>968</v>
      </c>
      <c r="I170" s="1">
        <v>76</v>
      </c>
      <c r="J170" s="1" t="s">
        <v>969</v>
      </c>
      <c r="K170" s="1" t="s">
        <v>94</v>
      </c>
      <c r="L170" s="1" t="s">
        <v>970</v>
      </c>
      <c r="M170" s="1">
        <v>441</v>
      </c>
    </row>
    <row r="171" spans="2:14" ht="28.5" x14ac:dyDescent="0.2">
      <c r="B171" s="1" t="s">
        <v>971</v>
      </c>
      <c r="C171" s="1">
        <v>6</v>
      </c>
      <c r="D171" s="1" t="s">
        <v>972</v>
      </c>
      <c r="E171" s="1" t="s">
        <v>370</v>
      </c>
      <c r="F171" s="1" t="s">
        <v>973</v>
      </c>
      <c r="G171" s="1" t="s">
        <v>974</v>
      </c>
      <c r="H171" s="1" t="s">
        <v>975</v>
      </c>
      <c r="J171" s="1" t="s">
        <v>370</v>
      </c>
      <c r="K171" s="1" t="s">
        <v>94</v>
      </c>
      <c r="L171" s="1" t="s">
        <v>973</v>
      </c>
      <c r="M171" s="1">
        <v>287</v>
      </c>
      <c r="N171" s="1" t="s">
        <v>334</v>
      </c>
    </row>
    <row r="172" spans="2:14" ht="57" x14ac:dyDescent="0.2">
      <c r="B172" s="1" t="s">
        <v>971</v>
      </c>
      <c r="C172" s="1">
        <v>6</v>
      </c>
      <c r="D172" s="1" t="s">
        <v>976</v>
      </c>
      <c r="E172" s="1" t="s">
        <v>977</v>
      </c>
      <c r="F172" s="1" t="s">
        <v>978</v>
      </c>
      <c r="G172" s="1" t="s">
        <v>217</v>
      </c>
      <c r="H172" s="1" t="s">
        <v>979</v>
      </c>
      <c r="I172" s="1">
        <v>69</v>
      </c>
      <c r="J172" s="1" t="s">
        <v>977</v>
      </c>
      <c r="K172" s="1" t="s">
        <v>94</v>
      </c>
      <c r="L172" s="1" t="s">
        <v>978</v>
      </c>
      <c r="M172" s="1">
        <v>325</v>
      </c>
    </row>
    <row r="173" spans="2:14" ht="42.75" x14ac:dyDescent="0.2">
      <c r="B173" s="1" t="s">
        <v>971</v>
      </c>
      <c r="C173" s="1">
        <v>7</v>
      </c>
      <c r="D173" s="1" t="s">
        <v>980</v>
      </c>
      <c r="E173" s="1" t="s">
        <v>956</v>
      </c>
      <c r="F173" s="1" t="s">
        <v>981</v>
      </c>
      <c r="G173" s="1" t="s">
        <v>982</v>
      </c>
      <c r="H173" s="1" t="s">
        <v>983</v>
      </c>
      <c r="I173" s="1">
        <v>75</v>
      </c>
      <c r="J173" s="1" t="s">
        <v>982</v>
      </c>
      <c r="K173" s="1" t="s">
        <v>88</v>
      </c>
      <c r="L173" s="1" t="s">
        <v>983</v>
      </c>
      <c r="M173" s="1">
        <v>283</v>
      </c>
    </row>
    <row r="174" spans="2:14" ht="57" x14ac:dyDescent="0.2">
      <c r="B174" s="1" t="s">
        <v>971</v>
      </c>
      <c r="C174" s="1">
        <v>8</v>
      </c>
      <c r="D174" s="1" t="s">
        <v>984</v>
      </c>
      <c r="E174" s="1" t="s">
        <v>985</v>
      </c>
      <c r="F174" s="1" t="s">
        <v>986</v>
      </c>
      <c r="G174" s="1" t="s">
        <v>90</v>
      </c>
      <c r="H174" s="1" t="s">
        <v>987</v>
      </c>
      <c r="I174" s="1">
        <v>70</v>
      </c>
      <c r="J174" s="1" t="s">
        <v>985</v>
      </c>
      <c r="K174" s="1" t="s">
        <v>94</v>
      </c>
      <c r="L174" s="1" t="s">
        <v>986</v>
      </c>
      <c r="M174" s="1">
        <v>333</v>
      </c>
    </row>
    <row r="175" spans="2:14" ht="42.75" x14ac:dyDescent="0.2">
      <c r="B175" s="1" t="s">
        <v>971</v>
      </c>
      <c r="C175" s="1">
        <v>8</v>
      </c>
      <c r="D175" s="1" t="s">
        <v>988</v>
      </c>
      <c r="E175" s="1" t="s">
        <v>989</v>
      </c>
      <c r="F175" s="1" t="s">
        <v>990</v>
      </c>
      <c r="G175" s="1" t="s">
        <v>991</v>
      </c>
      <c r="H175" s="1" t="s">
        <v>992</v>
      </c>
      <c r="I175" s="1">
        <v>86</v>
      </c>
      <c r="J175" s="1" t="s">
        <v>989</v>
      </c>
      <c r="K175" s="1" t="s">
        <v>94</v>
      </c>
      <c r="L175" s="1" t="s">
        <v>990</v>
      </c>
      <c r="M175" s="1">
        <v>576</v>
      </c>
    </row>
    <row r="176" spans="2:14" ht="42.75" x14ac:dyDescent="0.2">
      <c r="B176" s="1" t="s">
        <v>971</v>
      </c>
      <c r="C176" s="1">
        <v>9</v>
      </c>
      <c r="D176" s="1" t="s">
        <v>993</v>
      </c>
      <c r="E176" s="1" t="s">
        <v>994</v>
      </c>
      <c r="F176" s="1" t="s">
        <v>995</v>
      </c>
      <c r="G176" s="1" t="s">
        <v>996</v>
      </c>
      <c r="H176" s="1" t="s">
        <v>997</v>
      </c>
      <c r="I176" s="1">
        <v>127</v>
      </c>
      <c r="J176" s="1" t="s">
        <v>998</v>
      </c>
      <c r="K176" s="1" t="s">
        <v>94</v>
      </c>
      <c r="L176" s="1" t="s">
        <v>999</v>
      </c>
      <c r="M176" s="1">
        <v>465</v>
      </c>
    </row>
    <row r="177" spans="2:13" ht="42.75" x14ac:dyDescent="0.2">
      <c r="B177" s="1" t="s">
        <v>1000</v>
      </c>
      <c r="C177" s="1">
        <v>6</v>
      </c>
      <c r="D177" s="1" t="s">
        <v>1001</v>
      </c>
      <c r="E177" s="1" t="s">
        <v>1002</v>
      </c>
      <c r="F177" s="1" t="s">
        <v>1003</v>
      </c>
      <c r="G177" s="1" t="s">
        <v>1004</v>
      </c>
      <c r="H177" s="1" t="s">
        <v>1005</v>
      </c>
      <c r="I177" s="1">
        <v>74</v>
      </c>
      <c r="J177" s="1" t="s">
        <v>1004</v>
      </c>
      <c r="K177" s="1" t="s">
        <v>88</v>
      </c>
      <c r="L177" s="1" t="s">
        <v>1005</v>
      </c>
      <c r="M177" s="1">
        <v>373</v>
      </c>
    </row>
    <row r="178" spans="2:13" ht="28.5" x14ac:dyDescent="0.2">
      <c r="B178" s="1" t="s">
        <v>1000</v>
      </c>
      <c r="C178" s="1">
        <v>7</v>
      </c>
      <c r="D178" s="1" t="s">
        <v>1006</v>
      </c>
      <c r="E178" s="1" t="s">
        <v>1007</v>
      </c>
      <c r="F178" s="1" t="s">
        <v>1008</v>
      </c>
      <c r="G178" s="1" t="s">
        <v>1009</v>
      </c>
      <c r="H178" s="1" t="s">
        <v>1010</v>
      </c>
      <c r="I178" s="1">
        <v>64</v>
      </c>
      <c r="J178" s="1" t="s">
        <v>1007</v>
      </c>
      <c r="K178" s="1" t="s">
        <v>88</v>
      </c>
      <c r="L178" s="1" t="s">
        <v>1008</v>
      </c>
    </row>
    <row r="179" spans="2:13" ht="57" x14ac:dyDescent="0.2">
      <c r="B179" s="1" t="s">
        <v>1000</v>
      </c>
      <c r="C179" s="1">
        <v>7</v>
      </c>
      <c r="D179" s="1" t="s">
        <v>1011</v>
      </c>
      <c r="E179" s="1" t="s">
        <v>1012</v>
      </c>
      <c r="F179" s="1" t="s">
        <v>1013</v>
      </c>
      <c r="G179" s="1" t="s">
        <v>1014</v>
      </c>
      <c r="H179" s="1" t="s">
        <v>1015</v>
      </c>
      <c r="I179" s="1">
        <v>88</v>
      </c>
      <c r="J179" s="1" t="s">
        <v>1014</v>
      </c>
      <c r="K179" s="1" t="s">
        <v>88</v>
      </c>
      <c r="L179" s="1" t="s">
        <v>1015</v>
      </c>
      <c r="M179" s="1">
        <v>376</v>
      </c>
    </row>
  </sheetData>
  <autoFilter ref="A1:AML179" xr:uid="{00000000-0009-0000-0000-000001000000}"/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4"/>
  <sheetViews>
    <sheetView workbookViewId="0">
      <selection activeCell="H5" sqref="H5"/>
    </sheetView>
  </sheetViews>
  <sheetFormatPr defaultColWidth="8.625" defaultRowHeight="14.25" x14ac:dyDescent="0.2"/>
  <cols>
    <col min="1" max="3" width="8.625" style="1"/>
    <col min="4" max="4" width="27.125" style="1" customWidth="1"/>
    <col min="5" max="5" width="8.625" style="1"/>
    <col min="6" max="6" width="29.5" style="1" customWidth="1"/>
    <col min="7" max="7" width="8.625" style="1"/>
    <col min="8" max="8" width="32.25" style="1" customWidth="1"/>
    <col min="9" max="11" width="8.625" style="1"/>
    <col min="12" max="12" width="27.125" style="1" customWidth="1"/>
    <col min="13" max="16384" width="8.625" style="1"/>
  </cols>
  <sheetData>
    <row r="1" spans="1:13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 ht="42.75" x14ac:dyDescent="0.2">
      <c r="B2" s="1" t="s">
        <v>82</v>
      </c>
      <c r="C2" s="1">
        <v>6</v>
      </c>
      <c r="D2" s="1" t="s">
        <v>89</v>
      </c>
      <c r="E2" s="1" t="s">
        <v>1016</v>
      </c>
      <c r="F2" s="1" t="s">
        <v>1017</v>
      </c>
      <c r="G2" s="1" t="s">
        <v>1018</v>
      </c>
      <c r="H2" s="1" t="s">
        <v>1019</v>
      </c>
      <c r="J2" s="1" t="s">
        <v>1020</v>
      </c>
      <c r="K2" s="1" t="s">
        <v>94</v>
      </c>
      <c r="L2" s="1" t="s">
        <v>1021</v>
      </c>
      <c r="M2" s="1">
        <v>329</v>
      </c>
    </row>
    <row r="3" spans="1:13" ht="57" x14ac:dyDescent="0.2">
      <c r="B3" s="1" t="s">
        <v>82</v>
      </c>
      <c r="C3" s="1">
        <v>6</v>
      </c>
      <c r="D3" s="1" t="s">
        <v>95</v>
      </c>
      <c r="E3" s="1" t="s">
        <v>370</v>
      </c>
      <c r="F3" s="1" t="s">
        <v>1022</v>
      </c>
      <c r="G3" s="1" t="s">
        <v>223</v>
      </c>
      <c r="H3" s="1" t="s">
        <v>1023</v>
      </c>
      <c r="I3" s="1">
        <v>62</v>
      </c>
      <c r="J3" s="1" t="s">
        <v>370</v>
      </c>
      <c r="K3" s="1" t="s">
        <v>88</v>
      </c>
      <c r="L3" s="1" t="s">
        <v>1022</v>
      </c>
    </row>
    <row r="4" spans="1:13" ht="28.5" x14ac:dyDescent="0.2">
      <c r="B4" s="1" t="s">
        <v>82</v>
      </c>
      <c r="C4" s="1">
        <v>7</v>
      </c>
      <c r="D4" s="1" t="s">
        <v>100</v>
      </c>
      <c r="E4" s="1" t="s">
        <v>1024</v>
      </c>
      <c r="F4" s="1" t="s">
        <v>1025</v>
      </c>
      <c r="G4" s="1" t="s">
        <v>1026</v>
      </c>
      <c r="H4" s="1" t="s">
        <v>1027</v>
      </c>
      <c r="J4" s="1" t="s">
        <v>1028</v>
      </c>
      <c r="K4" s="1" t="s">
        <v>88</v>
      </c>
      <c r="L4" s="1" t="s">
        <v>1029</v>
      </c>
      <c r="M4" s="1">
        <v>332</v>
      </c>
    </row>
    <row r="5" spans="1:13" ht="57" x14ac:dyDescent="0.2">
      <c r="B5" s="1" t="s">
        <v>82</v>
      </c>
      <c r="C5" s="1">
        <v>8</v>
      </c>
      <c r="D5" s="1" t="s">
        <v>122</v>
      </c>
      <c r="E5" s="1" t="s">
        <v>1030</v>
      </c>
      <c r="F5" s="1" t="s">
        <v>1031</v>
      </c>
      <c r="G5" s="1" t="s">
        <v>1032</v>
      </c>
      <c r="H5" s="1" t="s">
        <v>1033</v>
      </c>
      <c r="I5" s="1">
        <v>74</v>
      </c>
      <c r="J5" s="1" t="s">
        <v>1030</v>
      </c>
      <c r="K5" s="1" t="s">
        <v>94</v>
      </c>
      <c r="L5" s="1" t="s">
        <v>1031</v>
      </c>
    </row>
    <row r="6" spans="1:13" ht="28.5" x14ac:dyDescent="0.2">
      <c r="B6" s="1" t="s">
        <v>82</v>
      </c>
      <c r="C6" s="1">
        <v>9</v>
      </c>
      <c r="D6" s="1" t="s">
        <v>105</v>
      </c>
      <c r="E6" s="1" t="s">
        <v>319</v>
      </c>
      <c r="F6" s="1" t="s">
        <v>1034</v>
      </c>
      <c r="G6" s="1" t="s">
        <v>1035</v>
      </c>
      <c r="H6" s="1" t="s">
        <v>1036</v>
      </c>
      <c r="J6" s="1" t="s">
        <v>319</v>
      </c>
      <c r="K6" s="1" t="s">
        <v>94</v>
      </c>
      <c r="L6" s="1" t="s">
        <v>1034</v>
      </c>
      <c r="M6" s="1">
        <v>624</v>
      </c>
    </row>
    <row r="7" spans="1:13" ht="42.75" x14ac:dyDescent="0.2">
      <c r="B7" s="1" t="s">
        <v>82</v>
      </c>
      <c r="C7" s="1">
        <v>9</v>
      </c>
      <c r="D7" s="1" t="s">
        <v>127</v>
      </c>
      <c r="E7" s="1" t="s">
        <v>1037</v>
      </c>
      <c r="F7" s="1" t="s">
        <v>1038</v>
      </c>
      <c r="G7" s="1" t="s">
        <v>1039</v>
      </c>
      <c r="H7" s="1" t="s">
        <v>1040</v>
      </c>
      <c r="J7" s="1" t="s">
        <v>1039</v>
      </c>
      <c r="K7" s="1" t="s">
        <v>94</v>
      </c>
      <c r="L7" s="1" t="s">
        <v>1040</v>
      </c>
      <c r="M7" s="1">
        <v>437</v>
      </c>
    </row>
    <row r="8" spans="1:13" ht="28.5" x14ac:dyDescent="0.2">
      <c r="B8" s="1" t="s">
        <v>82</v>
      </c>
      <c r="C8" s="1">
        <v>9</v>
      </c>
      <c r="D8" s="1" t="s">
        <v>112</v>
      </c>
      <c r="E8" s="1" t="s">
        <v>1041</v>
      </c>
      <c r="F8" s="1" t="s">
        <v>1042</v>
      </c>
      <c r="G8" s="1" t="s">
        <v>1043</v>
      </c>
      <c r="H8" s="1" t="s">
        <v>1044</v>
      </c>
      <c r="J8" s="1" t="s">
        <v>1043</v>
      </c>
      <c r="K8" s="1" t="s">
        <v>94</v>
      </c>
      <c r="L8" s="1" t="s">
        <v>1044</v>
      </c>
      <c r="M8" s="1">
        <v>516</v>
      </c>
    </row>
    <row r="9" spans="1:13" ht="42.75" x14ac:dyDescent="0.2">
      <c r="B9" s="1" t="s">
        <v>82</v>
      </c>
      <c r="C9" s="1">
        <v>9</v>
      </c>
      <c r="D9" s="1" t="s">
        <v>117</v>
      </c>
      <c r="E9" s="1" t="s">
        <v>1045</v>
      </c>
      <c r="F9" s="1" t="s">
        <v>1046</v>
      </c>
      <c r="G9" s="1" t="s">
        <v>1047</v>
      </c>
      <c r="H9" s="1" t="s">
        <v>1048</v>
      </c>
      <c r="I9" s="1">
        <v>75</v>
      </c>
      <c r="J9" s="1" t="s">
        <v>1045</v>
      </c>
      <c r="K9" s="1" t="s">
        <v>94</v>
      </c>
      <c r="L9" s="1" t="s">
        <v>1046</v>
      </c>
      <c r="M9" s="1">
        <v>287</v>
      </c>
    </row>
    <row r="10" spans="1:13" ht="57" x14ac:dyDescent="0.2">
      <c r="B10" s="1" t="s">
        <v>82</v>
      </c>
      <c r="C10" s="1">
        <v>10</v>
      </c>
      <c r="D10" s="1" t="s">
        <v>1049</v>
      </c>
      <c r="E10" s="1" t="s">
        <v>1050</v>
      </c>
      <c r="F10" s="1" t="s">
        <v>1051</v>
      </c>
      <c r="G10" s="1" t="s">
        <v>1052</v>
      </c>
      <c r="H10" s="1" t="s">
        <v>1053</v>
      </c>
      <c r="I10" s="1">
        <v>84</v>
      </c>
      <c r="J10" s="1" t="s">
        <v>1050</v>
      </c>
      <c r="K10" s="1" t="s">
        <v>94</v>
      </c>
      <c r="L10" s="1" t="s">
        <v>1051</v>
      </c>
      <c r="M10" s="1">
        <v>430</v>
      </c>
    </row>
    <row r="11" spans="1:13" ht="57" x14ac:dyDescent="0.2">
      <c r="B11" s="1" t="s">
        <v>82</v>
      </c>
      <c r="C11" s="1">
        <v>10</v>
      </c>
      <c r="D11" s="1" t="s">
        <v>137</v>
      </c>
      <c r="E11" s="1" t="s">
        <v>1054</v>
      </c>
      <c r="F11" s="1" t="s">
        <v>1055</v>
      </c>
      <c r="G11" s="1" t="s">
        <v>1056</v>
      </c>
      <c r="H11" s="1" t="s">
        <v>1057</v>
      </c>
      <c r="I11" s="1">
        <v>106</v>
      </c>
      <c r="J11" s="1" t="s">
        <v>1054</v>
      </c>
      <c r="K11" s="1" t="s">
        <v>94</v>
      </c>
      <c r="L11" s="1" t="s">
        <v>1055</v>
      </c>
    </row>
    <row r="12" spans="1:13" ht="57" x14ac:dyDescent="0.2">
      <c r="A12" s="1">
        <v>1</v>
      </c>
      <c r="B12" s="1" t="s">
        <v>82</v>
      </c>
      <c r="C12" s="1">
        <v>10</v>
      </c>
      <c r="D12" s="1" t="s">
        <v>132</v>
      </c>
      <c r="E12" s="1" t="s">
        <v>1058</v>
      </c>
      <c r="F12" s="1" t="s">
        <v>1059</v>
      </c>
      <c r="G12" s="1" t="s">
        <v>1060</v>
      </c>
      <c r="H12" s="1" t="s">
        <v>1061</v>
      </c>
      <c r="I12" s="1">
        <v>81</v>
      </c>
      <c r="J12" s="1" t="s">
        <v>1060</v>
      </c>
      <c r="K12" s="1" t="s">
        <v>94</v>
      </c>
      <c r="L12" s="1" t="s">
        <v>1061</v>
      </c>
    </row>
    <row r="13" spans="1:13" ht="42.75" x14ac:dyDescent="0.2">
      <c r="B13" s="1" t="s">
        <v>142</v>
      </c>
      <c r="C13" s="1">
        <v>6</v>
      </c>
      <c r="D13" s="1" t="s">
        <v>143</v>
      </c>
      <c r="E13" s="1" t="s">
        <v>1062</v>
      </c>
      <c r="F13" s="1" t="s">
        <v>1063</v>
      </c>
      <c r="G13" s="1" t="s">
        <v>762</v>
      </c>
      <c r="H13" s="1" t="s">
        <v>1064</v>
      </c>
      <c r="I13" s="1">
        <v>67</v>
      </c>
      <c r="J13" s="1" t="s">
        <v>1062</v>
      </c>
      <c r="K13" s="1" t="s">
        <v>94</v>
      </c>
      <c r="L13" s="1" t="s">
        <v>1063</v>
      </c>
      <c r="M13" s="1">
        <v>199</v>
      </c>
    </row>
    <row r="14" spans="1:13" ht="57" x14ac:dyDescent="0.2">
      <c r="B14" s="1" t="s">
        <v>142</v>
      </c>
      <c r="C14" s="1">
        <v>6</v>
      </c>
      <c r="D14" s="1" t="s">
        <v>150</v>
      </c>
      <c r="E14" s="1" t="s">
        <v>84</v>
      </c>
      <c r="F14" s="1" t="s">
        <v>1065</v>
      </c>
      <c r="G14" s="1" t="s">
        <v>1066</v>
      </c>
      <c r="H14" s="1" t="s">
        <v>1067</v>
      </c>
      <c r="I14" s="1">
        <v>67</v>
      </c>
      <c r="J14" s="1" t="s">
        <v>1066</v>
      </c>
      <c r="K14" s="1" t="s">
        <v>88</v>
      </c>
      <c r="L14" s="1" t="s">
        <v>1067</v>
      </c>
    </row>
    <row r="15" spans="1:13" ht="42.75" x14ac:dyDescent="0.2">
      <c r="B15" s="1" t="s">
        <v>142</v>
      </c>
      <c r="C15" s="1">
        <v>7</v>
      </c>
      <c r="D15" s="1" t="s">
        <v>155</v>
      </c>
      <c r="E15" s="1" t="s">
        <v>583</v>
      </c>
      <c r="F15" s="1" t="s">
        <v>1068</v>
      </c>
      <c r="G15" s="1" t="s">
        <v>1069</v>
      </c>
      <c r="H15" s="1" t="s">
        <v>1070</v>
      </c>
      <c r="I15" s="1">
        <v>71</v>
      </c>
      <c r="J15" s="1" t="s">
        <v>151</v>
      </c>
      <c r="K15" s="1" t="s">
        <v>94</v>
      </c>
      <c r="L15" s="1" t="s">
        <v>1071</v>
      </c>
      <c r="M15" s="1">
        <v>192</v>
      </c>
    </row>
    <row r="16" spans="1:13" ht="57" x14ac:dyDescent="0.2">
      <c r="B16" s="1" t="s">
        <v>142</v>
      </c>
      <c r="C16" s="1">
        <v>8</v>
      </c>
      <c r="D16" s="1" t="s">
        <v>171</v>
      </c>
      <c r="E16" s="1" t="s">
        <v>1072</v>
      </c>
      <c r="F16" s="1" t="s">
        <v>1073</v>
      </c>
      <c r="G16" s="1" t="s">
        <v>1074</v>
      </c>
      <c r="H16" s="1" t="s">
        <v>1075</v>
      </c>
      <c r="I16" s="1">
        <v>66</v>
      </c>
      <c r="J16" s="1" t="s">
        <v>1076</v>
      </c>
      <c r="K16" s="1" t="s">
        <v>94</v>
      </c>
      <c r="L16" s="1" t="s">
        <v>1077</v>
      </c>
      <c r="M16" s="1">
        <v>456</v>
      </c>
    </row>
    <row r="17" spans="1:13" ht="57" x14ac:dyDescent="0.2">
      <c r="B17" s="1" t="s">
        <v>142</v>
      </c>
      <c r="C17" s="1">
        <v>8</v>
      </c>
      <c r="D17" s="1" t="s">
        <v>166</v>
      </c>
      <c r="E17" s="1" t="s">
        <v>620</v>
      </c>
      <c r="F17" s="1" t="s">
        <v>1078</v>
      </c>
      <c r="G17" s="1" t="s">
        <v>1079</v>
      </c>
      <c r="H17" s="1" t="s">
        <v>1080</v>
      </c>
      <c r="I17" s="1">
        <v>89</v>
      </c>
      <c r="J17" s="1" t="s">
        <v>1081</v>
      </c>
      <c r="K17" s="1" t="s">
        <v>94</v>
      </c>
      <c r="L17" s="1" t="s">
        <v>1082</v>
      </c>
    </row>
    <row r="18" spans="1:13" ht="57" x14ac:dyDescent="0.2">
      <c r="B18" s="1" t="s">
        <v>142</v>
      </c>
      <c r="C18" s="1">
        <v>9</v>
      </c>
      <c r="D18" s="1" t="s">
        <v>1083</v>
      </c>
      <c r="E18" s="1" t="s">
        <v>1084</v>
      </c>
      <c r="F18" s="1" t="s">
        <v>1085</v>
      </c>
      <c r="G18" s="1" t="s">
        <v>1086</v>
      </c>
      <c r="H18" s="1" t="s">
        <v>1087</v>
      </c>
      <c r="I18" s="1">
        <v>72</v>
      </c>
      <c r="J18" s="1" t="s">
        <v>1086</v>
      </c>
      <c r="K18" s="1" t="s">
        <v>94</v>
      </c>
      <c r="L18" s="1" t="s">
        <v>1087</v>
      </c>
      <c r="M18" s="1">
        <v>592</v>
      </c>
    </row>
    <row r="19" spans="1:13" ht="42.75" x14ac:dyDescent="0.2">
      <c r="A19" s="1">
        <v>1</v>
      </c>
      <c r="B19" s="1" t="s">
        <v>177</v>
      </c>
      <c r="C19" s="1">
        <v>6</v>
      </c>
      <c r="D19" s="1" t="s">
        <v>178</v>
      </c>
      <c r="E19" s="1" t="s">
        <v>208</v>
      </c>
      <c r="F19" s="1" t="s">
        <v>1088</v>
      </c>
      <c r="G19" s="1" t="s">
        <v>1089</v>
      </c>
      <c r="H19" s="1" t="s">
        <v>1090</v>
      </c>
      <c r="I19" s="1">
        <v>61</v>
      </c>
      <c r="J19" s="1" t="s">
        <v>1089</v>
      </c>
      <c r="K19" s="1" t="s">
        <v>94</v>
      </c>
      <c r="L19" s="1" t="s">
        <v>1090</v>
      </c>
    </row>
    <row r="20" spans="1:13" ht="42.75" x14ac:dyDescent="0.2">
      <c r="B20" s="1" t="s">
        <v>177</v>
      </c>
      <c r="C20" s="1">
        <v>6</v>
      </c>
      <c r="D20" s="1" t="s">
        <v>214</v>
      </c>
      <c r="E20" s="1" t="s">
        <v>667</v>
      </c>
      <c r="F20" s="1" t="s">
        <v>1091</v>
      </c>
      <c r="G20" s="1" t="s">
        <v>1007</v>
      </c>
      <c r="H20" s="1" t="s">
        <v>1092</v>
      </c>
      <c r="I20" s="1">
        <v>67</v>
      </c>
      <c r="J20" s="1" t="s">
        <v>667</v>
      </c>
      <c r="K20" s="1" t="s">
        <v>88</v>
      </c>
      <c r="L20" s="1" t="s">
        <v>1091</v>
      </c>
      <c r="M20" s="1">
        <v>270</v>
      </c>
    </row>
    <row r="21" spans="1:13" ht="42.75" x14ac:dyDescent="0.2">
      <c r="B21" s="1" t="s">
        <v>177</v>
      </c>
      <c r="C21" s="1">
        <v>6</v>
      </c>
      <c r="D21" s="1" t="s">
        <v>188</v>
      </c>
      <c r="E21" s="1" t="s">
        <v>1093</v>
      </c>
      <c r="F21" s="1" t="s">
        <v>1094</v>
      </c>
      <c r="G21" s="1" t="s">
        <v>1004</v>
      </c>
      <c r="H21" s="1" t="s">
        <v>1095</v>
      </c>
      <c r="I21" s="1">
        <v>68</v>
      </c>
      <c r="J21" s="1" t="s">
        <v>1004</v>
      </c>
      <c r="K21" s="1" t="s">
        <v>94</v>
      </c>
      <c r="L21" s="1" t="s">
        <v>1095</v>
      </c>
      <c r="M21" s="1">
        <v>246</v>
      </c>
    </row>
    <row r="22" spans="1:13" ht="57" x14ac:dyDescent="0.2">
      <c r="B22" s="1" t="s">
        <v>177</v>
      </c>
      <c r="C22" s="1">
        <v>6</v>
      </c>
      <c r="D22" s="1" t="s">
        <v>192</v>
      </c>
      <c r="E22" s="1" t="s">
        <v>1096</v>
      </c>
      <c r="F22" s="1" t="s">
        <v>1097</v>
      </c>
      <c r="G22" s="1" t="s">
        <v>1098</v>
      </c>
      <c r="H22" s="1" t="s">
        <v>1099</v>
      </c>
      <c r="I22" s="1">
        <v>81</v>
      </c>
      <c r="J22" s="1" t="s">
        <v>1100</v>
      </c>
      <c r="K22" s="1" t="s">
        <v>88</v>
      </c>
      <c r="L22" s="1" t="s">
        <v>1101</v>
      </c>
      <c r="M22" s="1">
        <v>232</v>
      </c>
    </row>
    <row r="23" spans="1:13" ht="57" x14ac:dyDescent="0.2">
      <c r="B23" s="1" t="s">
        <v>177</v>
      </c>
      <c r="C23" s="1">
        <v>6</v>
      </c>
      <c r="D23" s="1" t="s">
        <v>197</v>
      </c>
      <c r="E23" s="1" t="s">
        <v>1102</v>
      </c>
      <c r="F23" s="1" t="s">
        <v>1103</v>
      </c>
      <c r="G23" s="1" t="s">
        <v>1104</v>
      </c>
      <c r="H23" s="1" t="s">
        <v>1105</v>
      </c>
      <c r="I23" s="1">
        <v>71</v>
      </c>
      <c r="J23" s="1" t="s">
        <v>1104</v>
      </c>
      <c r="K23" s="1" t="s">
        <v>219</v>
      </c>
      <c r="L23" s="1" t="s">
        <v>1105</v>
      </c>
      <c r="M23" s="1">
        <v>146</v>
      </c>
    </row>
    <row r="24" spans="1:13" ht="57" x14ac:dyDescent="0.2">
      <c r="B24" s="1" t="s">
        <v>177</v>
      </c>
      <c r="C24" s="1">
        <v>6</v>
      </c>
      <c r="D24" s="1" t="s">
        <v>220</v>
      </c>
      <c r="E24" s="1" t="s">
        <v>1106</v>
      </c>
      <c r="F24" s="1" t="s">
        <v>1107</v>
      </c>
      <c r="G24" s="1" t="s">
        <v>1108</v>
      </c>
      <c r="H24" s="1" t="s">
        <v>1109</v>
      </c>
      <c r="I24" s="1">
        <v>57</v>
      </c>
      <c r="J24" s="1" t="s">
        <v>1110</v>
      </c>
      <c r="K24" s="1" t="s">
        <v>94</v>
      </c>
      <c r="L24" s="1" t="s">
        <v>1111</v>
      </c>
      <c r="M24" s="1">
        <v>291</v>
      </c>
    </row>
    <row r="25" spans="1:13" ht="57" x14ac:dyDescent="0.2">
      <c r="B25" s="1" t="s">
        <v>177</v>
      </c>
      <c r="C25" s="1">
        <v>6</v>
      </c>
      <c r="D25" s="1" t="s">
        <v>207</v>
      </c>
      <c r="E25" s="1" t="s">
        <v>1112</v>
      </c>
      <c r="F25" s="1" t="s">
        <v>1113</v>
      </c>
      <c r="G25" s="1" t="s">
        <v>1114</v>
      </c>
      <c r="H25" s="1" t="s">
        <v>1115</v>
      </c>
      <c r="I25" s="1">
        <v>65</v>
      </c>
      <c r="J25" s="1" t="s">
        <v>1114</v>
      </c>
      <c r="K25" s="1" t="s">
        <v>94</v>
      </c>
      <c r="L25" s="1" t="s">
        <v>1115</v>
      </c>
      <c r="M25" s="1">
        <v>243</v>
      </c>
    </row>
    <row r="26" spans="1:13" ht="42.75" x14ac:dyDescent="0.2">
      <c r="B26" s="1" t="s">
        <v>177</v>
      </c>
      <c r="C26" s="1">
        <v>6</v>
      </c>
      <c r="D26" s="1" t="s">
        <v>227</v>
      </c>
      <c r="E26" s="1" t="s">
        <v>1116</v>
      </c>
      <c r="F26" s="1" t="s">
        <v>1117</v>
      </c>
      <c r="G26" s="1" t="s">
        <v>200</v>
      </c>
      <c r="H26" s="1" t="s">
        <v>1118</v>
      </c>
      <c r="I26" s="1">
        <v>63</v>
      </c>
      <c r="J26" s="1" t="s">
        <v>1116</v>
      </c>
      <c r="K26" s="1" t="s">
        <v>94</v>
      </c>
      <c r="L26" s="1" t="s">
        <v>1117</v>
      </c>
      <c r="M26" s="1">
        <v>298</v>
      </c>
    </row>
    <row r="27" spans="1:13" ht="42.75" x14ac:dyDescent="0.2">
      <c r="B27" s="1" t="s">
        <v>177</v>
      </c>
      <c r="C27" s="1">
        <v>6</v>
      </c>
      <c r="D27" s="1" t="s">
        <v>232</v>
      </c>
      <c r="E27" s="1" t="s">
        <v>868</v>
      </c>
      <c r="F27" s="1" t="s">
        <v>1119</v>
      </c>
      <c r="G27" s="1" t="s">
        <v>223</v>
      </c>
      <c r="H27" s="1" t="s">
        <v>1120</v>
      </c>
      <c r="I27" s="1">
        <v>60</v>
      </c>
      <c r="J27" s="1" t="s">
        <v>223</v>
      </c>
      <c r="K27" s="1" t="s">
        <v>88</v>
      </c>
      <c r="L27" s="1" t="s">
        <v>1120</v>
      </c>
    </row>
    <row r="28" spans="1:13" ht="28.5" x14ac:dyDescent="0.2">
      <c r="A28" s="1" t="s">
        <v>244</v>
      </c>
      <c r="B28" s="1" t="s">
        <v>177</v>
      </c>
      <c r="C28" s="1">
        <v>7</v>
      </c>
      <c r="D28" s="1" t="s">
        <v>1121</v>
      </c>
      <c r="E28" s="1" t="s">
        <v>1122</v>
      </c>
      <c r="F28" s="1" t="s">
        <v>1123</v>
      </c>
      <c r="G28" s="1" t="s">
        <v>1124</v>
      </c>
      <c r="H28" s="1" t="s">
        <v>1125</v>
      </c>
      <c r="I28" s="1">
        <v>75</v>
      </c>
      <c r="J28" s="1" t="s">
        <v>1124</v>
      </c>
      <c r="K28" s="1" t="s">
        <v>88</v>
      </c>
      <c r="L28" s="1" t="s">
        <v>1126</v>
      </c>
      <c r="M28" s="1">
        <v>504</v>
      </c>
    </row>
    <row r="29" spans="1:13" ht="57" x14ac:dyDescent="0.2">
      <c r="B29" s="1" t="s">
        <v>177</v>
      </c>
      <c r="C29" s="1">
        <v>7</v>
      </c>
      <c r="D29" s="1" t="s">
        <v>1127</v>
      </c>
      <c r="E29" s="1" t="s">
        <v>1128</v>
      </c>
      <c r="F29" s="1" t="s">
        <v>1129</v>
      </c>
      <c r="G29" s="1" t="s">
        <v>1130</v>
      </c>
      <c r="H29" s="1" t="s">
        <v>1131</v>
      </c>
      <c r="I29" s="1">
        <v>63</v>
      </c>
      <c r="J29" s="1" t="s">
        <v>1130</v>
      </c>
      <c r="K29" s="1" t="s">
        <v>94</v>
      </c>
      <c r="L29" s="1" t="s">
        <v>1131</v>
      </c>
      <c r="M29" s="1">
        <v>373</v>
      </c>
    </row>
    <row r="30" spans="1:13" ht="42.75" x14ac:dyDescent="0.2">
      <c r="B30" s="1" t="s">
        <v>177</v>
      </c>
      <c r="C30" s="1">
        <v>7</v>
      </c>
      <c r="D30" s="1" t="s">
        <v>1132</v>
      </c>
      <c r="E30" s="1" t="s">
        <v>639</v>
      </c>
      <c r="F30" s="1" t="s">
        <v>1133</v>
      </c>
      <c r="G30" s="1" t="s">
        <v>1134</v>
      </c>
      <c r="H30" s="1" t="s">
        <v>1135</v>
      </c>
      <c r="I30" s="1">
        <v>65</v>
      </c>
      <c r="J30" s="1" t="s">
        <v>1134</v>
      </c>
      <c r="K30" s="1" t="s">
        <v>94</v>
      </c>
      <c r="L30" s="1" t="s">
        <v>1136</v>
      </c>
      <c r="M30" s="1">
        <v>438</v>
      </c>
    </row>
    <row r="31" spans="1:13" ht="42.75" x14ac:dyDescent="0.2">
      <c r="A31" s="1">
        <v>1</v>
      </c>
      <c r="B31" s="1" t="s">
        <v>177</v>
      </c>
      <c r="C31" s="1">
        <v>8</v>
      </c>
      <c r="D31" s="1" t="s">
        <v>239</v>
      </c>
      <c r="E31" s="1" t="s">
        <v>1018</v>
      </c>
      <c r="F31" s="1" t="s">
        <v>1137</v>
      </c>
      <c r="G31" s="1" t="s">
        <v>1138</v>
      </c>
      <c r="H31" s="1" t="s">
        <v>1139</v>
      </c>
      <c r="I31" s="1">
        <v>67</v>
      </c>
      <c r="J31" s="1" t="s">
        <v>1018</v>
      </c>
      <c r="K31" s="1" t="s">
        <v>94</v>
      </c>
      <c r="L31" s="1" t="s">
        <v>1137</v>
      </c>
    </row>
    <row r="32" spans="1:13" ht="57" x14ac:dyDescent="0.2">
      <c r="B32" s="1" t="s">
        <v>177</v>
      </c>
      <c r="C32" s="1">
        <v>8</v>
      </c>
      <c r="D32" s="1" t="s">
        <v>277</v>
      </c>
      <c r="E32" s="1" t="s">
        <v>626</v>
      </c>
      <c r="F32" s="1" t="s">
        <v>1140</v>
      </c>
      <c r="G32" s="1" t="s">
        <v>1141</v>
      </c>
      <c r="H32" s="1" t="s">
        <v>1142</v>
      </c>
      <c r="I32" s="1">
        <v>76</v>
      </c>
      <c r="J32" s="1" t="s">
        <v>1141</v>
      </c>
      <c r="K32" s="1" t="s">
        <v>94</v>
      </c>
      <c r="L32" s="1" t="s">
        <v>1142</v>
      </c>
      <c r="M32" s="1">
        <v>427</v>
      </c>
    </row>
    <row r="33" spans="2:13" ht="57" x14ac:dyDescent="0.2">
      <c r="B33" s="1" t="s">
        <v>177</v>
      </c>
      <c r="C33" s="1">
        <v>8</v>
      </c>
      <c r="D33" s="1" t="s">
        <v>250</v>
      </c>
      <c r="E33" s="1" t="s">
        <v>1143</v>
      </c>
      <c r="F33" s="1" t="s">
        <v>1144</v>
      </c>
      <c r="G33" s="1" t="s">
        <v>268</v>
      </c>
      <c r="H33" s="1" t="s">
        <v>1145</v>
      </c>
      <c r="I33" s="1">
        <v>86</v>
      </c>
      <c r="J33" s="1" t="s">
        <v>1143</v>
      </c>
      <c r="K33" s="1" t="s">
        <v>94</v>
      </c>
      <c r="L33" s="1" t="s">
        <v>1144</v>
      </c>
      <c r="M33" s="1">
        <v>330</v>
      </c>
    </row>
    <row r="34" spans="2:13" ht="57" x14ac:dyDescent="0.2">
      <c r="B34" s="1" t="s">
        <v>177</v>
      </c>
      <c r="C34" s="1">
        <v>8</v>
      </c>
      <c r="D34" s="1" t="s">
        <v>255</v>
      </c>
      <c r="E34" s="1" t="s">
        <v>1146</v>
      </c>
      <c r="F34" s="1" t="s">
        <v>1147</v>
      </c>
      <c r="G34" s="1" t="s">
        <v>1148</v>
      </c>
      <c r="H34" s="1" t="s">
        <v>1149</v>
      </c>
      <c r="I34" s="1">
        <v>70</v>
      </c>
      <c r="J34" s="1" t="s">
        <v>1146</v>
      </c>
      <c r="K34" s="1" t="s">
        <v>94</v>
      </c>
      <c r="L34" s="1" t="s">
        <v>1147</v>
      </c>
      <c r="M34" s="1">
        <v>321</v>
      </c>
    </row>
    <row r="35" spans="2:13" ht="57" x14ac:dyDescent="0.2">
      <c r="B35" s="1" t="s">
        <v>177</v>
      </c>
      <c r="C35" s="1">
        <v>8</v>
      </c>
      <c r="D35" s="1" t="s">
        <v>261</v>
      </c>
      <c r="E35" s="1" t="s">
        <v>1150</v>
      </c>
      <c r="F35" s="1" t="s">
        <v>1151</v>
      </c>
      <c r="G35" s="1" t="s">
        <v>1152</v>
      </c>
      <c r="H35" s="1" t="s">
        <v>1153</v>
      </c>
      <c r="I35" s="1">
        <v>70</v>
      </c>
      <c r="J35" s="1" t="s">
        <v>1152</v>
      </c>
      <c r="K35" s="1" t="s">
        <v>94</v>
      </c>
      <c r="L35" s="1" t="s">
        <v>1153</v>
      </c>
    </row>
    <row r="36" spans="2:13" ht="57" x14ac:dyDescent="0.2">
      <c r="B36" s="1" t="s">
        <v>177</v>
      </c>
      <c r="C36" s="1">
        <v>8</v>
      </c>
      <c r="D36" s="1" t="s">
        <v>1154</v>
      </c>
      <c r="E36" s="1" t="s">
        <v>1155</v>
      </c>
      <c r="F36" s="1" t="s">
        <v>1156</v>
      </c>
      <c r="G36" s="1" t="s">
        <v>1157</v>
      </c>
      <c r="H36" s="1" t="s">
        <v>1158</v>
      </c>
      <c r="I36" s="1">
        <v>73</v>
      </c>
      <c r="J36" s="1" t="s">
        <v>1157</v>
      </c>
      <c r="K36" s="1" t="s">
        <v>94</v>
      </c>
      <c r="L36" s="1" t="s">
        <v>1158</v>
      </c>
    </row>
    <row r="37" spans="2:13" ht="57" x14ac:dyDescent="0.2">
      <c r="B37" s="1" t="s">
        <v>177</v>
      </c>
      <c r="C37" s="1">
        <v>9</v>
      </c>
      <c r="D37" s="1" t="s">
        <v>1159</v>
      </c>
      <c r="E37" s="1" t="s">
        <v>1160</v>
      </c>
      <c r="F37" s="1" t="s">
        <v>1161</v>
      </c>
      <c r="G37" s="1" t="s">
        <v>1162</v>
      </c>
      <c r="H37" s="1" t="s">
        <v>1163</v>
      </c>
      <c r="I37" s="1">
        <v>73</v>
      </c>
      <c r="J37" s="1" t="s">
        <v>1160</v>
      </c>
      <c r="K37" s="1" t="s">
        <v>94</v>
      </c>
      <c r="L37" s="1" t="s">
        <v>1161</v>
      </c>
      <c r="M37" s="1">
        <v>483</v>
      </c>
    </row>
    <row r="38" spans="2:13" ht="57" x14ac:dyDescent="0.2">
      <c r="B38" s="1" t="s">
        <v>177</v>
      </c>
      <c r="C38" s="1">
        <v>9</v>
      </c>
      <c r="D38" s="1" t="s">
        <v>282</v>
      </c>
      <c r="E38" s="1" t="s">
        <v>1164</v>
      </c>
      <c r="F38" s="1" t="s">
        <v>1165</v>
      </c>
      <c r="G38" s="1" t="s">
        <v>1166</v>
      </c>
      <c r="H38" s="1" t="s">
        <v>1167</v>
      </c>
      <c r="I38" s="1">
        <v>89</v>
      </c>
      <c r="J38" s="1" t="s">
        <v>1168</v>
      </c>
      <c r="K38" s="1" t="s">
        <v>94</v>
      </c>
      <c r="L38" s="1" t="s">
        <v>1169</v>
      </c>
      <c r="M38" s="1">
        <v>469</v>
      </c>
    </row>
    <row r="39" spans="2:13" ht="42.75" x14ac:dyDescent="0.2">
      <c r="B39" s="1" t="s">
        <v>177</v>
      </c>
      <c r="C39" s="1">
        <v>10</v>
      </c>
      <c r="D39" s="1" t="s">
        <v>272</v>
      </c>
      <c r="E39" s="1" t="s">
        <v>1170</v>
      </c>
      <c r="F39" s="1" t="s">
        <v>1171</v>
      </c>
      <c r="G39" s="1" t="s">
        <v>1172</v>
      </c>
      <c r="H39" s="1" t="s">
        <v>1173</v>
      </c>
      <c r="J39" s="1" t="s">
        <v>1174</v>
      </c>
      <c r="K39" s="1" t="s">
        <v>94</v>
      </c>
      <c r="L39" s="1" t="s">
        <v>1175</v>
      </c>
      <c r="M39" s="1">
        <v>448</v>
      </c>
    </row>
    <row r="40" spans="2:13" ht="28.5" x14ac:dyDescent="0.2">
      <c r="B40" s="1" t="s">
        <v>286</v>
      </c>
      <c r="C40" s="1">
        <v>7</v>
      </c>
      <c r="D40" s="1" t="s">
        <v>287</v>
      </c>
      <c r="E40" s="1" t="s">
        <v>1176</v>
      </c>
      <c r="F40" s="1" t="s">
        <v>1177</v>
      </c>
      <c r="G40" s="1" t="s">
        <v>1178</v>
      </c>
      <c r="H40" s="1" t="s">
        <v>1179</v>
      </c>
      <c r="J40" s="1" t="s">
        <v>1176</v>
      </c>
      <c r="K40" s="1" t="s">
        <v>94</v>
      </c>
      <c r="L40" s="1" t="s">
        <v>1177</v>
      </c>
      <c r="M40" s="1">
        <v>461</v>
      </c>
    </row>
    <row r="41" spans="2:13" ht="42.75" x14ac:dyDescent="0.2">
      <c r="B41" s="1" t="s">
        <v>286</v>
      </c>
      <c r="C41" s="1">
        <v>9</v>
      </c>
      <c r="D41" s="1" t="s">
        <v>292</v>
      </c>
      <c r="E41" s="1" t="s">
        <v>273</v>
      </c>
      <c r="F41" s="1" t="s">
        <v>1180</v>
      </c>
      <c r="G41" s="1" t="s">
        <v>1012</v>
      </c>
      <c r="H41" s="1" t="s">
        <v>1181</v>
      </c>
      <c r="I41" s="1">
        <v>73</v>
      </c>
      <c r="J41" s="1" t="s">
        <v>1182</v>
      </c>
      <c r="K41" s="1" t="s">
        <v>94</v>
      </c>
      <c r="L41" s="1" t="s">
        <v>1183</v>
      </c>
      <c r="M41" s="1">
        <v>304</v>
      </c>
    </row>
    <row r="42" spans="2:13" ht="42.75" x14ac:dyDescent="0.2">
      <c r="B42" s="1" t="s">
        <v>286</v>
      </c>
      <c r="C42" s="1">
        <v>9</v>
      </c>
      <c r="D42" s="1" t="s">
        <v>299</v>
      </c>
      <c r="E42" s="1" t="s">
        <v>1184</v>
      </c>
      <c r="F42" s="1" t="s">
        <v>1185</v>
      </c>
      <c r="G42" s="1" t="s">
        <v>1186</v>
      </c>
      <c r="H42" s="1" t="s">
        <v>1187</v>
      </c>
      <c r="I42" s="1">
        <v>77</v>
      </c>
      <c r="J42" s="1" t="s">
        <v>1184</v>
      </c>
      <c r="K42" s="1" t="s">
        <v>94</v>
      </c>
      <c r="L42" s="1" t="s">
        <v>1185</v>
      </c>
      <c r="M42" s="1">
        <v>412</v>
      </c>
    </row>
    <row r="43" spans="2:13" ht="57" x14ac:dyDescent="0.2">
      <c r="B43" s="1" t="s">
        <v>286</v>
      </c>
      <c r="C43" s="1">
        <v>9</v>
      </c>
      <c r="D43" s="1" t="s">
        <v>306</v>
      </c>
      <c r="E43" s="1" t="s">
        <v>1188</v>
      </c>
      <c r="F43" s="1" t="s">
        <v>1189</v>
      </c>
      <c r="G43" s="1" t="s">
        <v>1190</v>
      </c>
      <c r="H43" s="1" t="s">
        <v>1191</v>
      </c>
      <c r="I43" s="1">
        <v>77</v>
      </c>
      <c r="J43" s="1" t="s">
        <v>1188</v>
      </c>
      <c r="K43" s="1" t="s">
        <v>94</v>
      </c>
      <c r="L43" s="1" t="s">
        <v>1189</v>
      </c>
      <c r="M43" s="1">
        <v>399</v>
      </c>
    </row>
    <row r="44" spans="2:13" ht="57" x14ac:dyDescent="0.2">
      <c r="B44" s="1" t="s">
        <v>286</v>
      </c>
      <c r="C44" s="1">
        <v>9</v>
      </c>
      <c r="D44" s="1" t="s">
        <v>1192</v>
      </c>
      <c r="E44" s="1" t="s">
        <v>1193</v>
      </c>
      <c r="F44" s="1" t="s">
        <v>1194</v>
      </c>
      <c r="G44" s="1" t="s">
        <v>1195</v>
      </c>
      <c r="H44" s="1" t="s">
        <v>1196</v>
      </c>
      <c r="I44" s="1">
        <v>67</v>
      </c>
      <c r="J44" s="1" t="s">
        <v>1195</v>
      </c>
      <c r="K44" s="1" t="s">
        <v>94</v>
      </c>
      <c r="L44" s="1" t="s">
        <v>1196</v>
      </c>
      <c r="M44" s="1">
        <v>509</v>
      </c>
    </row>
    <row r="45" spans="2:13" ht="57" x14ac:dyDescent="0.2">
      <c r="B45" s="1" t="s">
        <v>286</v>
      </c>
      <c r="C45" s="1">
        <v>9</v>
      </c>
      <c r="D45" s="1" t="s">
        <v>311</v>
      </c>
      <c r="E45" s="1" t="s">
        <v>982</v>
      </c>
      <c r="F45" s="1" t="s">
        <v>1197</v>
      </c>
      <c r="G45" s="1" t="s">
        <v>1198</v>
      </c>
      <c r="H45" s="1" t="s">
        <v>1199</v>
      </c>
      <c r="I45" s="1">
        <v>86</v>
      </c>
      <c r="J45" s="1" t="s">
        <v>982</v>
      </c>
      <c r="K45" s="1" t="s">
        <v>94</v>
      </c>
      <c r="L45" s="1" t="s">
        <v>1197</v>
      </c>
    </row>
    <row r="46" spans="2:13" ht="57" x14ac:dyDescent="0.2">
      <c r="B46" s="1" t="s">
        <v>286</v>
      </c>
      <c r="C46" s="1">
        <v>10</v>
      </c>
      <c r="D46" s="1" t="s">
        <v>316</v>
      </c>
      <c r="E46" s="1" t="s">
        <v>1200</v>
      </c>
      <c r="F46" s="1" t="s">
        <v>1201</v>
      </c>
      <c r="G46" s="1" t="s">
        <v>1202</v>
      </c>
      <c r="H46" s="1" t="s">
        <v>1203</v>
      </c>
      <c r="I46" s="1">
        <v>104</v>
      </c>
      <c r="J46" s="1" t="s">
        <v>179</v>
      </c>
      <c r="K46" s="1" t="s">
        <v>94</v>
      </c>
      <c r="L46" s="1" t="s">
        <v>1204</v>
      </c>
    </row>
    <row r="47" spans="2:13" ht="42.75" x14ac:dyDescent="0.2">
      <c r="B47" s="1" t="s">
        <v>321</v>
      </c>
      <c r="C47" s="1">
        <v>6</v>
      </c>
      <c r="D47" s="1" t="s">
        <v>322</v>
      </c>
      <c r="E47" s="1" t="s">
        <v>1205</v>
      </c>
      <c r="F47" s="1" t="s">
        <v>1206</v>
      </c>
      <c r="G47" s="1" t="s">
        <v>1074</v>
      </c>
      <c r="H47" s="1" t="s">
        <v>1207</v>
      </c>
      <c r="J47" s="1" t="s">
        <v>1074</v>
      </c>
      <c r="K47" s="1" t="s">
        <v>94</v>
      </c>
      <c r="L47" s="1" t="s">
        <v>1207</v>
      </c>
      <c r="M47" s="1">
        <v>311</v>
      </c>
    </row>
    <row r="48" spans="2:13" ht="42.75" x14ac:dyDescent="0.2">
      <c r="B48" s="1" t="s">
        <v>321</v>
      </c>
      <c r="C48" s="1">
        <v>6</v>
      </c>
      <c r="D48" s="1" t="s">
        <v>329</v>
      </c>
      <c r="E48" s="1" t="s">
        <v>1208</v>
      </c>
      <c r="F48" s="1" t="s">
        <v>1209</v>
      </c>
      <c r="G48" s="1" t="s">
        <v>264</v>
      </c>
      <c r="H48" s="1" t="s">
        <v>1210</v>
      </c>
      <c r="J48" s="1" t="s">
        <v>1208</v>
      </c>
      <c r="K48" s="1" t="s">
        <v>94</v>
      </c>
      <c r="L48" s="1" t="s">
        <v>1209</v>
      </c>
      <c r="M48" s="1">
        <v>420</v>
      </c>
    </row>
    <row r="49" spans="1:13" ht="57" x14ac:dyDescent="0.2">
      <c r="B49" s="1" t="s">
        <v>321</v>
      </c>
      <c r="C49" s="1">
        <v>6</v>
      </c>
      <c r="D49" s="1" t="s">
        <v>1211</v>
      </c>
      <c r="E49" s="1" t="s">
        <v>1212</v>
      </c>
      <c r="F49" s="1" t="s">
        <v>1213</v>
      </c>
      <c r="G49" s="1" t="s">
        <v>663</v>
      </c>
      <c r="H49" s="1" t="s">
        <v>1214</v>
      </c>
      <c r="I49" s="1">
        <v>64</v>
      </c>
      <c r="J49" s="1" t="s">
        <v>663</v>
      </c>
      <c r="K49" s="1" t="s">
        <v>94</v>
      </c>
      <c r="L49" s="1" t="s">
        <v>1214</v>
      </c>
      <c r="M49" s="1">
        <v>231</v>
      </c>
    </row>
    <row r="50" spans="1:13" ht="57" x14ac:dyDescent="0.2">
      <c r="B50" s="1" t="s">
        <v>321</v>
      </c>
      <c r="C50" s="1">
        <v>7</v>
      </c>
      <c r="D50" s="1" t="s">
        <v>335</v>
      </c>
      <c r="E50" s="1" t="s">
        <v>1215</v>
      </c>
      <c r="F50" s="1" t="s">
        <v>1216</v>
      </c>
      <c r="G50" s="1" t="s">
        <v>838</v>
      </c>
      <c r="H50" s="1" t="s">
        <v>1217</v>
      </c>
      <c r="I50" s="1">
        <v>73</v>
      </c>
      <c r="J50" s="1" t="s">
        <v>1218</v>
      </c>
      <c r="K50" s="1" t="s">
        <v>88</v>
      </c>
      <c r="L50" s="1" t="s">
        <v>1219</v>
      </c>
    </row>
    <row r="51" spans="1:13" ht="57" x14ac:dyDescent="0.2">
      <c r="B51" s="1" t="s">
        <v>321</v>
      </c>
      <c r="C51" s="1">
        <v>7</v>
      </c>
      <c r="D51" s="1" t="s">
        <v>340</v>
      </c>
      <c r="E51" s="1" t="s">
        <v>1220</v>
      </c>
      <c r="F51" s="1" t="s">
        <v>1221</v>
      </c>
      <c r="G51" s="1" t="s">
        <v>1222</v>
      </c>
      <c r="H51" s="1" t="s">
        <v>1223</v>
      </c>
      <c r="I51" s="1">
        <v>64</v>
      </c>
      <c r="J51" s="1" t="s">
        <v>1220</v>
      </c>
      <c r="K51" s="1" t="s">
        <v>94</v>
      </c>
      <c r="L51" s="1" t="s">
        <v>1221</v>
      </c>
    </row>
    <row r="52" spans="1:13" ht="42.75" x14ac:dyDescent="0.2">
      <c r="B52" s="1" t="s">
        <v>321</v>
      </c>
      <c r="C52" s="1">
        <v>9</v>
      </c>
      <c r="D52" s="1" t="s">
        <v>345</v>
      </c>
      <c r="E52" s="1" t="s">
        <v>547</v>
      </c>
      <c r="F52" s="1" t="s">
        <v>1224</v>
      </c>
      <c r="G52" s="1" t="s">
        <v>1190</v>
      </c>
      <c r="H52" s="1" t="s">
        <v>1225</v>
      </c>
      <c r="I52" s="1">
        <v>67</v>
      </c>
      <c r="J52" s="1" t="s">
        <v>1190</v>
      </c>
      <c r="K52" s="1" t="s">
        <v>94</v>
      </c>
      <c r="L52" s="1" t="s">
        <v>1225</v>
      </c>
      <c r="M52" s="1">
        <v>336</v>
      </c>
    </row>
    <row r="53" spans="1:13" ht="42.75" x14ac:dyDescent="0.2">
      <c r="B53" s="1" t="s">
        <v>321</v>
      </c>
      <c r="C53" s="1">
        <v>10</v>
      </c>
      <c r="D53" s="1" t="s">
        <v>349</v>
      </c>
      <c r="E53" s="1" t="s">
        <v>1106</v>
      </c>
      <c r="F53" s="1" t="s">
        <v>1226</v>
      </c>
      <c r="G53" s="1" t="s">
        <v>1227</v>
      </c>
      <c r="H53" s="1" t="s">
        <v>1228</v>
      </c>
      <c r="I53" s="1">
        <v>82</v>
      </c>
      <c r="J53" s="1" t="s">
        <v>1227</v>
      </c>
      <c r="K53" s="1" t="s">
        <v>94</v>
      </c>
      <c r="L53" s="1" t="s">
        <v>1228</v>
      </c>
      <c r="M53" s="1">
        <v>364</v>
      </c>
    </row>
    <row r="54" spans="1:13" ht="42.75" x14ac:dyDescent="0.2">
      <c r="B54" s="1" t="s">
        <v>321</v>
      </c>
      <c r="C54" s="1">
        <v>10</v>
      </c>
      <c r="D54" s="1" t="s">
        <v>1229</v>
      </c>
      <c r="E54" s="1" t="s">
        <v>118</v>
      </c>
      <c r="F54" s="1" t="s">
        <v>1230</v>
      </c>
      <c r="G54" s="1" t="s">
        <v>1231</v>
      </c>
      <c r="H54" s="1" t="s">
        <v>1232</v>
      </c>
      <c r="I54" s="1">
        <v>96</v>
      </c>
      <c r="J54" s="1" t="s">
        <v>118</v>
      </c>
      <c r="K54" s="1" t="s">
        <v>94</v>
      </c>
      <c r="L54" s="1" t="s">
        <v>1230</v>
      </c>
      <c r="M54" s="1">
        <v>612</v>
      </c>
    </row>
    <row r="55" spans="1:13" ht="57" x14ac:dyDescent="0.2">
      <c r="B55" s="1" t="s">
        <v>362</v>
      </c>
      <c r="C55" s="1">
        <v>6</v>
      </c>
      <c r="D55" s="1" t="s">
        <v>367</v>
      </c>
      <c r="E55" s="1" t="s">
        <v>1233</v>
      </c>
      <c r="F55" s="1" t="s">
        <v>1234</v>
      </c>
      <c r="G55" s="1" t="s">
        <v>1235</v>
      </c>
      <c r="H55" s="1" t="s">
        <v>1236</v>
      </c>
      <c r="I55" s="1">
        <v>57</v>
      </c>
      <c r="J55" s="1" t="s">
        <v>1233</v>
      </c>
      <c r="K55" s="1" t="s">
        <v>88</v>
      </c>
      <c r="L55" s="1" t="s">
        <v>1234</v>
      </c>
    </row>
    <row r="56" spans="1:13" ht="57" x14ac:dyDescent="0.2">
      <c r="A56" s="1">
        <v>1</v>
      </c>
      <c r="B56" s="1" t="s">
        <v>362</v>
      </c>
      <c r="C56" s="1">
        <v>6</v>
      </c>
      <c r="D56" s="1" t="s">
        <v>363</v>
      </c>
      <c r="E56" s="1" t="s">
        <v>1233</v>
      </c>
      <c r="F56" s="1" t="s">
        <v>1237</v>
      </c>
      <c r="G56" s="1" t="s">
        <v>1215</v>
      </c>
      <c r="H56" s="1" t="s">
        <v>1238</v>
      </c>
      <c r="I56" s="1">
        <v>70</v>
      </c>
      <c r="J56" s="1" t="s">
        <v>1233</v>
      </c>
      <c r="K56" s="1" t="s">
        <v>88</v>
      </c>
      <c r="L56" s="1" t="s">
        <v>1237</v>
      </c>
    </row>
    <row r="57" spans="1:13" ht="57" x14ac:dyDescent="0.2">
      <c r="B57" s="1" t="s">
        <v>362</v>
      </c>
      <c r="C57" s="1">
        <v>8</v>
      </c>
      <c r="D57" s="1" t="s">
        <v>374</v>
      </c>
      <c r="E57" s="1" t="s">
        <v>1239</v>
      </c>
      <c r="F57" s="1" t="s">
        <v>1240</v>
      </c>
      <c r="G57" s="1" t="s">
        <v>1241</v>
      </c>
      <c r="H57" s="1" t="s">
        <v>1242</v>
      </c>
      <c r="I57" s="1">
        <v>69</v>
      </c>
      <c r="J57" s="1" t="s">
        <v>1239</v>
      </c>
      <c r="K57" s="1" t="s">
        <v>94</v>
      </c>
      <c r="L57" s="1" t="s">
        <v>1240</v>
      </c>
    </row>
    <row r="58" spans="1:13" ht="57" x14ac:dyDescent="0.2">
      <c r="A58" s="1">
        <v>1</v>
      </c>
      <c r="B58" s="1" t="s">
        <v>362</v>
      </c>
      <c r="C58" s="1">
        <v>10</v>
      </c>
      <c r="D58" s="1" t="s">
        <v>379</v>
      </c>
      <c r="E58" s="1" t="s">
        <v>1243</v>
      </c>
      <c r="F58" s="1" t="s">
        <v>1244</v>
      </c>
      <c r="G58" s="1" t="s">
        <v>189</v>
      </c>
      <c r="H58" s="1" t="s">
        <v>1245</v>
      </c>
      <c r="I58" s="1">
        <v>79</v>
      </c>
      <c r="J58" s="1" t="s">
        <v>189</v>
      </c>
      <c r="K58" s="1" t="s">
        <v>94</v>
      </c>
      <c r="L58" s="1" t="s">
        <v>1245</v>
      </c>
    </row>
    <row r="59" spans="1:13" ht="28.5" x14ac:dyDescent="0.2">
      <c r="B59" s="1" t="s">
        <v>384</v>
      </c>
      <c r="C59" s="1">
        <v>6</v>
      </c>
      <c r="D59" s="1" t="s">
        <v>385</v>
      </c>
      <c r="E59" s="1" t="s">
        <v>1218</v>
      </c>
      <c r="F59" s="1" t="s">
        <v>1246</v>
      </c>
      <c r="G59" s="1" t="s">
        <v>1247</v>
      </c>
      <c r="H59" s="1" t="s">
        <v>1248</v>
      </c>
      <c r="J59" s="1" t="s">
        <v>1218</v>
      </c>
      <c r="K59" s="1" t="s">
        <v>94</v>
      </c>
      <c r="L59" s="1" t="s">
        <v>1246</v>
      </c>
      <c r="M59" s="1">
        <v>392</v>
      </c>
    </row>
    <row r="60" spans="1:13" ht="42.75" x14ac:dyDescent="0.2">
      <c r="B60" s="1" t="s">
        <v>384</v>
      </c>
      <c r="C60" s="1">
        <v>6</v>
      </c>
      <c r="D60" s="1" t="s">
        <v>390</v>
      </c>
      <c r="E60" s="1" t="s">
        <v>1249</v>
      </c>
      <c r="F60" s="1" t="s">
        <v>1250</v>
      </c>
      <c r="G60" s="1" t="s">
        <v>1251</v>
      </c>
      <c r="H60" s="1" t="s">
        <v>1252</v>
      </c>
      <c r="I60" s="1">
        <v>64</v>
      </c>
      <c r="J60" s="1" t="s">
        <v>1249</v>
      </c>
      <c r="K60" s="1" t="s">
        <v>88</v>
      </c>
      <c r="L60" s="1" t="s">
        <v>1250</v>
      </c>
    </row>
    <row r="61" spans="1:13" ht="57" x14ac:dyDescent="0.2">
      <c r="B61" s="1" t="s">
        <v>384</v>
      </c>
      <c r="C61" s="1">
        <v>9</v>
      </c>
      <c r="D61" s="1" t="s">
        <v>1253</v>
      </c>
      <c r="E61" s="1" t="s">
        <v>639</v>
      </c>
      <c r="F61" s="1" t="s">
        <v>1254</v>
      </c>
      <c r="G61" s="1" t="s">
        <v>1255</v>
      </c>
      <c r="H61" s="1" t="s">
        <v>1256</v>
      </c>
      <c r="I61" s="1">
        <v>77</v>
      </c>
      <c r="J61" s="1" t="s">
        <v>1257</v>
      </c>
      <c r="K61" s="1" t="s">
        <v>94</v>
      </c>
      <c r="L61" s="1" t="s">
        <v>1258</v>
      </c>
      <c r="M61" s="1">
        <v>362</v>
      </c>
    </row>
    <row r="62" spans="1:13" ht="42.75" x14ac:dyDescent="0.2">
      <c r="B62" s="1" t="s">
        <v>384</v>
      </c>
      <c r="C62" s="1">
        <v>9</v>
      </c>
      <c r="D62" s="1" t="s">
        <v>400</v>
      </c>
      <c r="E62" s="1" t="s">
        <v>1259</v>
      </c>
      <c r="F62" s="1" t="s">
        <v>1260</v>
      </c>
      <c r="G62" s="1" t="s">
        <v>1261</v>
      </c>
      <c r="H62" s="1" t="s">
        <v>1262</v>
      </c>
      <c r="I62" s="1">
        <v>78</v>
      </c>
      <c r="J62" s="1" t="s">
        <v>1261</v>
      </c>
      <c r="K62" s="1" t="s">
        <v>94</v>
      </c>
      <c r="L62" s="1" t="s">
        <v>1262</v>
      </c>
      <c r="M62" s="1">
        <v>498</v>
      </c>
    </row>
    <row r="63" spans="1:13" ht="57" x14ac:dyDescent="0.2">
      <c r="B63" s="1" t="s">
        <v>384</v>
      </c>
      <c r="C63" s="1">
        <v>9</v>
      </c>
      <c r="D63" s="1" t="s">
        <v>1263</v>
      </c>
      <c r="E63" s="1" t="s">
        <v>1264</v>
      </c>
      <c r="F63" s="1" t="s">
        <v>1265</v>
      </c>
      <c r="G63" s="1" t="s">
        <v>1266</v>
      </c>
      <c r="H63" s="1" t="s">
        <v>1267</v>
      </c>
      <c r="I63" s="1">
        <v>78</v>
      </c>
      <c r="J63" s="1" t="s">
        <v>1266</v>
      </c>
      <c r="K63" s="1" t="s">
        <v>88</v>
      </c>
      <c r="L63" s="1" t="s">
        <v>1267</v>
      </c>
      <c r="M63" s="1">
        <v>330</v>
      </c>
    </row>
    <row r="64" spans="1:13" ht="42.75" x14ac:dyDescent="0.2">
      <c r="B64" s="1" t="s">
        <v>384</v>
      </c>
      <c r="C64" s="1">
        <v>10</v>
      </c>
      <c r="D64" s="1" t="s">
        <v>1268</v>
      </c>
      <c r="E64" s="1" t="s">
        <v>1269</v>
      </c>
      <c r="F64" s="1" t="s">
        <v>1270</v>
      </c>
      <c r="G64" s="1" t="s">
        <v>1271</v>
      </c>
      <c r="H64" s="1" t="s">
        <v>1272</v>
      </c>
      <c r="I64" s="1">
        <v>82</v>
      </c>
      <c r="J64" s="1" t="s">
        <v>1271</v>
      </c>
      <c r="K64" s="1" t="s">
        <v>94</v>
      </c>
      <c r="L64" s="1" t="s">
        <v>1272</v>
      </c>
      <c r="M64" s="1">
        <v>259</v>
      </c>
    </row>
    <row r="65" spans="1:13" ht="57" x14ac:dyDescent="0.2">
      <c r="B65" s="1" t="s">
        <v>384</v>
      </c>
      <c r="C65" s="1">
        <v>10</v>
      </c>
      <c r="D65" s="1" t="s">
        <v>415</v>
      </c>
      <c r="E65" s="1" t="s">
        <v>1239</v>
      </c>
      <c r="F65" s="1" t="s">
        <v>1273</v>
      </c>
      <c r="G65" s="1" t="s">
        <v>560</v>
      </c>
      <c r="H65" s="1" t="s">
        <v>1274</v>
      </c>
      <c r="I65" s="1">
        <v>81</v>
      </c>
      <c r="J65" s="1" t="s">
        <v>1239</v>
      </c>
      <c r="K65" s="1" t="s">
        <v>94</v>
      </c>
      <c r="L65" s="1" t="s">
        <v>1273</v>
      </c>
    </row>
    <row r="66" spans="1:13" ht="57" x14ac:dyDescent="0.2">
      <c r="B66" s="1" t="s">
        <v>384</v>
      </c>
      <c r="C66" s="1">
        <v>10</v>
      </c>
      <c r="D66" s="1" t="s">
        <v>420</v>
      </c>
      <c r="E66" s="1" t="s">
        <v>1148</v>
      </c>
      <c r="F66" s="1" t="s">
        <v>1275</v>
      </c>
      <c r="G66" s="1" t="s">
        <v>1276</v>
      </c>
      <c r="H66" s="1" t="s">
        <v>1277</v>
      </c>
      <c r="I66" s="1">
        <v>110</v>
      </c>
      <c r="J66" s="1" t="s">
        <v>1276</v>
      </c>
      <c r="K66" s="1" t="s">
        <v>94</v>
      </c>
      <c r="L66" s="1" t="s">
        <v>1278</v>
      </c>
    </row>
    <row r="67" spans="1:13" ht="57" x14ac:dyDescent="0.2">
      <c r="B67" s="1" t="s">
        <v>425</v>
      </c>
      <c r="C67" s="1">
        <v>6</v>
      </c>
      <c r="D67" s="1" t="s">
        <v>426</v>
      </c>
      <c r="E67" s="1" t="s">
        <v>1279</v>
      </c>
      <c r="F67" s="1" t="s">
        <v>1280</v>
      </c>
      <c r="G67" s="1" t="s">
        <v>1281</v>
      </c>
      <c r="H67" s="1" t="s">
        <v>1282</v>
      </c>
      <c r="I67" s="1">
        <v>73</v>
      </c>
      <c r="J67" s="1" t="s">
        <v>1066</v>
      </c>
      <c r="K67" s="1" t="s">
        <v>88</v>
      </c>
      <c r="L67" s="1" t="s">
        <v>1283</v>
      </c>
      <c r="M67" s="1">
        <v>238</v>
      </c>
    </row>
    <row r="68" spans="1:13" ht="42.75" x14ac:dyDescent="0.2">
      <c r="B68" s="1" t="s">
        <v>425</v>
      </c>
      <c r="C68" s="1">
        <v>6</v>
      </c>
      <c r="D68" s="1" t="s">
        <v>1284</v>
      </c>
      <c r="E68" s="1" t="s">
        <v>1285</v>
      </c>
      <c r="F68" s="1" t="s">
        <v>1286</v>
      </c>
      <c r="G68" s="1" t="s">
        <v>1287</v>
      </c>
      <c r="H68" s="1" t="s">
        <v>1288</v>
      </c>
      <c r="I68" s="1">
        <v>70</v>
      </c>
      <c r="J68" s="1" t="s">
        <v>347</v>
      </c>
      <c r="K68" s="1" t="s">
        <v>94</v>
      </c>
      <c r="L68" s="1" t="s">
        <v>1289</v>
      </c>
      <c r="M68" s="1">
        <v>260</v>
      </c>
    </row>
    <row r="69" spans="1:13" ht="57" x14ac:dyDescent="0.2">
      <c r="B69" s="1" t="s">
        <v>425</v>
      </c>
      <c r="C69" s="1">
        <v>6</v>
      </c>
      <c r="D69" s="1" t="s">
        <v>1290</v>
      </c>
      <c r="E69" s="1" t="s">
        <v>288</v>
      </c>
      <c r="F69" s="1" t="s">
        <v>1291</v>
      </c>
      <c r="G69" s="1" t="s">
        <v>1292</v>
      </c>
      <c r="H69" s="1" t="s">
        <v>1293</v>
      </c>
      <c r="I69" s="1">
        <v>72</v>
      </c>
      <c r="J69" s="1" t="s">
        <v>1292</v>
      </c>
      <c r="K69" s="1" t="s">
        <v>88</v>
      </c>
      <c r="L69" s="1" t="s">
        <v>1293</v>
      </c>
      <c r="M69" s="1">
        <v>245</v>
      </c>
    </row>
    <row r="70" spans="1:13" ht="28.5" x14ac:dyDescent="0.2">
      <c r="B70" s="1" t="s">
        <v>425</v>
      </c>
      <c r="C70" s="1">
        <v>7</v>
      </c>
      <c r="D70" s="1" t="s">
        <v>431</v>
      </c>
      <c r="E70" s="1" t="s">
        <v>1294</v>
      </c>
      <c r="F70" s="1" t="s">
        <v>1295</v>
      </c>
      <c r="G70" s="1" t="s">
        <v>1294</v>
      </c>
      <c r="H70" s="1" t="s">
        <v>1296</v>
      </c>
      <c r="J70" s="1" t="s">
        <v>1297</v>
      </c>
      <c r="K70" s="1" t="s">
        <v>88</v>
      </c>
      <c r="L70" s="1" t="s">
        <v>1298</v>
      </c>
      <c r="M70" s="1">
        <v>387</v>
      </c>
    </row>
    <row r="71" spans="1:13" ht="28.5" x14ac:dyDescent="0.2">
      <c r="B71" s="1" t="s">
        <v>425</v>
      </c>
      <c r="C71" s="1">
        <v>7</v>
      </c>
      <c r="D71" s="1" t="s">
        <v>436</v>
      </c>
      <c r="E71" s="1" t="s">
        <v>1299</v>
      </c>
      <c r="F71" s="1" t="s">
        <v>1300</v>
      </c>
      <c r="G71" s="1" t="s">
        <v>1301</v>
      </c>
      <c r="H71" s="1" t="s">
        <v>1302</v>
      </c>
      <c r="J71" s="1" t="s">
        <v>1301</v>
      </c>
      <c r="K71" s="1" t="s">
        <v>94</v>
      </c>
      <c r="L71" s="1" t="s">
        <v>1302</v>
      </c>
      <c r="M71" s="1">
        <v>330</v>
      </c>
    </row>
    <row r="72" spans="1:13" ht="57" x14ac:dyDescent="0.2">
      <c r="B72" s="1" t="s">
        <v>425</v>
      </c>
      <c r="C72" s="1">
        <v>8</v>
      </c>
      <c r="D72" s="1" t="s">
        <v>441</v>
      </c>
      <c r="E72" s="1" t="s">
        <v>1050</v>
      </c>
      <c r="F72" s="1" t="s">
        <v>1303</v>
      </c>
      <c r="G72" s="1" t="s">
        <v>1304</v>
      </c>
      <c r="H72" s="1" t="s">
        <v>1305</v>
      </c>
      <c r="I72" s="1">
        <v>72</v>
      </c>
      <c r="J72" s="1" t="s">
        <v>1306</v>
      </c>
      <c r="K72" s="1" t="s">
        <v>94</v>
      </c>
      <c r="L72" s="1" t="s">
        <v>1307</v>
      </c>
    </row>
    <row r="73" spans="1:13" ht="42.75" x14ac:dyDescent="0.2">
      <c r="B73" s="1" t="s">
        <v>425</v>
      </c>
      <c r="C73" s="1">
        <v>9</v>
      </c>
      <c r="D73" s="1" t="s">
        <v>450</v>
      </c>
      <c r="E73" s="1" t="s">
        <v>1308</v>
      </c>
      <c r="F73" s="1" t="s">
        <v>1309</v>
      </c>
      <c r="G73" s="1" t="s">
        <v>1310</v>
      </c>
      <c r="H73" s="1" t="s">
        <v>1311</v>
      </c>
      <c r="I73" s="1">
        <v>61</v>
      </c>
      <c r="J73" s="1" t="s">
        <v>1308</v>
      </c>
      <c r="K73" s="1" t="s">
        <v>94</v>
      </c>
      <c r="L73" s="1" t="s">
        <v>1312</v>
      </c>
      <c r="M73" s="1">
        <v>492</v>
      </c>
    </row>
    <row r="74" spans="1:13" ht="42.75" x14ac:dyDescent="0.2">
      <c r="B74" s="1" t="s">
        <v>425</v>
      </c>
      <c r="C74" s="1">
        <v>10</v>
      </c>
      <c r="D74" s="1" t="s">
        <v>1313</v>
      </c>
      <c r="E74" s="1" t="s">
        <v>1314</v>
      </c>
      <c r="F74" s="1" t="s">
        <v>1315</v>
      </c>
      <c r="G74" s="1" t="s">
        <v>1316</v>
      </c>
      <c r="H74" s="1" t="s">
        <v>1317</v>
      </c>
      <c r="I74" s="1">
        <v>78</v>
      </c>
      <c r="J74" s="1" t="s">
        <v>1314</v>
      </c>
      <c r="K74" s="1" t="s">
        <v>94</v>
      </c>
      <c r="L74" s="1" t="s">
        <v>1315</v>
      </c>
      <c r="M74" s="1">
        <v>447</v>
      </c>
    </row>
    <row r="75" spans="1:13" ht="57" x14ac:dyDescent="0.2">
      <c r="A75" s="1">
        <v>1</v>
      </c>
      <c r="B75" s="1" t="s">
        <v>425</v>
      </c>
      <c r="C75" s="1">
        <v>10</v>
      </c>
      <c r="D75" s="1" t="s">
        <v>446</v>
      </c>
      <c r="E75" s="1" t="s">
        <v>1318</v>
      </c>
      <c r="F75" s="1" t="s">
        <v>1319</v>
      </c>
      <c r="G75" s="1" t="s">
        <v>1320</v>
      </c>
      <c r="H75" s="1" t="s">
        <v>1321</v>
      </c>
      <c r="I75" s="1">
        <v>89</v>
      </c>
      <c r="J75" s="1" t="s">
        <v>1320</v>
      </c>
      <c r="K75" s="1" t="s">
        <v>94</v>
      </c>
      <c r="L75" s="1" t="s">
        <v>1321</v>
      </c>
    </row>
    <row r="76" spans="1:13" ht="28.5" x14ac:dyDescent="0.2">
      <c r="B76" s="1" t="s">
        <v>455</v>
      </c>
      <c r="C76" s="1">
        <v>6</v>
      </c>
      <c r="D76" s="1" t="s">
        <v>456</v>
      </c>
      <c r="E76" s="1" t="s">
        <v>427</v>
      </c>
      <c r="F76" s="1" t="s">
        <v>1322</v>
      </c>
      <c r="G76" s="1" t="s">
        <v>1323</v>
      </c>
      <c r="H76" s="1" t="s">
        <v>1324</v>
      </c>
      <c r="J76" s="1" t="s">
        <v>1325</v>
      </c>
      <c r="K76" s="1" t="s">
        <v>94</v>
      </c>
      <c r="L76" s="1" t="s">
        <v>1326</v>
      </c>
      <c r="M76" s="1">
        <v>346</v>
      </c>
    </row>
    <row r="77" spans="1:13" ht="28.5" x14ac:dyDescent="0.2">
      <c r="B77" s="1" t="s">
        <v>455</v>
      </c>
      <c r="C77" s="1">
        <v>6</v>
      </c>
      <c r="D77" s="1" t="s">
        <v>460</v>
      </c>
      <c r="E77" s="1" t="s">
        <v>1327</v>
      </c>
      <c r="F77" s="1" t="s">
        <v>1328</v>
      </c>
      <c r="G77" s="1" t="s">
        <v>1329</v>
      </c>
      <c r="H77" s="1" t="s">
        <v>1330</v>
      </c>
      <c r="J77" s="1" t="s">
        <v>1331</v>
      </c>
      <c r="K77" s="1" t="s">
        <v>94</v>
      </c>
      <c r="L77" s="1" t="s">
        <v>1332</v>
      </c>
      <c r="M77" s="1">
        <v>298</v>
      </c>
    </row>
    <row r="78" spans="1:13" ht="42.75" x14ac:dyDescent="0.2">
      <c r="B78" s="1" t="s">
        <v>455</v>
      </c>
      <c r="C78" s="1">
        <v>6</v>
      </c>
      <c r="D78" s="1" t="s">
        <v>465</v>
      </c>
      <c r="E78" s="1" t="s">
        <v>1333</v>
      </c>
      <c r="F78" s="1" t="s">
        <v>1334</v>
      </c>
      <c r="G78" s="1" t="s">
        <v>1081</v>
      </c>
      <c r="H78" s="1" t="s">
        <v>1335</v>
      </c>
      <c r="I78" s="1">
        <v>62</v>
      </c>
      <c r="J78" s="1" t="s">
        <v>1081</v>
      </c>
      <c r="K78" s="1" t="s">
        <v>219</v>
      </c>
      <c r="L78" s="1" t="s">
        <v>1335</v>
      </c>
      <c r="M78" s="1">
        <v>209</v>
      </c>
    </row>
    <row r="79" spans="1:13" ht="42.75" x14ac:dyDescent="0.2">
      <c r="B79" s="1" t="s">
        <v>455</v>
      </c>
      <c r="C79" s="1">
        <v>7</v>
      </c>
      <c r="D79" s="1" t="s">
        <v>475</v>
      </c>
      <c r="E79" s="1" t="s">
        <v>1336</v>
      </c>
      <c r="F79" s="1" t="s">
        <v>1337</v>
      </c>
      <c r="G79" s="1" t="s">
        <v>1338</v>
      </c>
      <c r="H79" s="1" t="s">
        <v>1339</v>
      </c>
      <c r="I79" s="1">
        <v>75</v>
      </c>
      <c r="J79" s="1" t="s">
        <v>1338</v>
      </c>
      <c r="K79" s="1" t="s">
        <v>94</v>
      </c>
      <c r="L79" s="1" t="s">
        <v>1339</v>
      </c>
      <c r="M79" s="1">
        <v>252</v>
      </c>
    </row>
    <row r="80" spans="1:13" ht="57" x14ac:dyDescent="0.2">
      <c r="B80" s="1" t="s">
        <v>455</v>
      </c>
      <c r="C80" s="1">
        <v>7</v>
      </c>
      <c r="D80" s="1" t="s">
        <v>479</v>
      </c>
      <c r="E80" s="1" t="s">
        <v>1340</v>
      </c>
      <c r="F80" s="1" t="s">
        <v>1341</v>
      </c>
      <c r="G80" s="1" t="s">
        <v>865</v>
      </c>
      <c r="H80" s="1" t="s">
        <v>1342</v>
      </c>
      <c r="I80" s="1">
        <v>69</v>
      </c>
      <c r="J80" s="1" t="s">
        <v>865</v>
      </c>
      <c r="K80" s="1" t="s">
        <v>94</v>
      </c>
      <c r="L80" s="1" t="s">
        <v>1342</v>
      </c>
    </row>
    <row r="81" spans="1:13" ht="57" x14ac:dyDescent="0.2">
      <c r="B81" s="1" t="s">
        <v>455</v>
      </c>
      <c r="C81" s="1">
        <v>8</v>
      </c>
      <c r="D81" s="1" t="s">
        <v>496</v>
      </c>
      <c r="E81" s="1" t="s">
        <v>84</v>
      </c>
      <c r="F81" s="1" t="s">
        <v>1343</v>
      </c>
      <c r="G81" s="1" t="s">
        <v>1037</v>
      </c>
      <c r="H81" s="1" t="s">
        <v>1344</v>
      </c>
      <c r="I81" s="1">
        <v>71</v>
      </c>
      <c r="J81" s="1" t="s">
        <v>1037</v>
      </c>
      <c r="K81" s="1" t="s">
        <v>94</v>
      </c>
      <c r="L81" s="1" t="s">
        <v>1344</v>
      </c>
      <c r="M81" s="1">
        <v>351</v>
      </c>
    </row>
    <row r="82" spans="1:13" ht="42.75" x14ac:dyDescent="0.2">
      <c r="B82" s="1" t="s">
        <v>455</v>
      </c>
      <c r="C82" s="1">
        <v>8</v>
      </c>
      <c r="D82" s="1" t="s">
        <v>470</v>
      </c>
      <c r="E82" s="1" t="s">
        <v>172</v>
      </c>
      <c r="F82" s="1" t="s">
        <v>1345</v>
      </c>
      <c r="G82" s="1" t="s">
        <v>1346</v>
      </c>
      <c r="H82" s="1" t="s">
        <v>1347</v>
      </c>
      <c r="I82" s="1">
        <v>93</v>
      </c>
      <c r="J82" s="1" t="s">
        <v>1346</v>
      </c>
      <c r="K82" s="1" t="s">
        <v>94</v>
      </c>
      <c r="L82" s="1" t="s">
        <v>1348</v>
      </c>
      <c r="M82" s="1">
        <v>405</v>
      </c>
    </row>
    <row r="83" spans="1:13" ht="28.5" x14ac:dyDescent="0.2">
      <c r="B83" s="1" t="s">
        <v>455</v>
      </c>
      <c r="C83" s="1">
        <v>9</v>
      </c>
      <c r="D83" s="1" t="s">
        <v>484</v>
      </c>
      <c r="E83" s="1" t="s">
        <v>1349</v>
      </c>
      <c r="F83" s="1" t="s">
        <v>1350</v>
      </c>
      <c r="G83" s="1" t="s">
        <v>408</v>
      </c>
      <c r="H83" s="1" t="s">
        <v>1351</v>
      </c>
      <c r="J83" s="1" t="s">
        <v>1349</v>
      </c>
      <c r="K83" s="1" t="s">
        <v>94</v>
      </c>
      <c r="L83" s="1" t="s">
        <v>1350</v>
      </c>
      <c r="M83" s="1">
        <v>533</v>
      </c>
    </row>
    <row r="84" spans="1:13" ht="28.5" x14ac:dyDescent="0.2">
      <c r="B84" s="1" t="s">
        <v>455</v>
      </c>
      <c r="C84" s="1">
        <v>9</v>
      </c>
      <c r="D84" s="1" t="s">
        <v>1352</v>
      </c>
      <c r="E84" s="1" t="s">
        <v>896</v>
      </c>
      <c r="F84" s="1" t="s">
        <v>1353</v>
      </c>
      <c r="G84" s="1" t="s">
        <v>1354</v>
      </c>
      <c r="H84" s="1" t="s">
        <v>1355</v>
      </c>
      <c r="J84" s="1" t="s">
        <v>1354</v>
      </c>
      <c r="K84" s="1" t="s">
        <v>94</v>
      </c>
      <c r="L84" s="1" t="s">
        <v>1356</v>
      </c>
      <c r="M84" s="1">
        <v>392</v>
      </c>
    </row>
    <row r="85" spans="1:13" ht="42.75" x14ac:dyDescent="0.2">
      <c r="B85" s="1" t="s">
        <v>455</v>
      </c>
      <c r="C85" s="1">
        <v>9</v>
      </c>
      <c r="D85" s="1" t="s">
        <v>490</v>
      </c>
      <c r="E85" s="1" t="s">
        <v>1259</v>
      </c>
      <c r="F85" s="1" t="s">
        <v>1357</v>
      </c>
      <c r="G85" s="1" t="s">
        <v>1358</v>
      </c>
      <c r="H85" s="1" t="s">
        <v>1359</v>
      </c>
      <c r="I85" s="1">
        <v>81</v>
      </c>
      <c r="J85" s="1" t="s">
        <v>1358</v>
      </c>
      <c r="K85" s="1" t="s">
        <v>94</v>
      </c>
      <c r="L85" s="1" t="s">
        <v>1359</v>
      </c>
      <c r="M85" s="1">
        <v>652</v>
      </c>
    </row>
    <row r="86" spans="1:13" ht="42.75" x14ac:dyDescent="0.2">
      <c r="A86" s="1">
        <v>1</v>
      </c>
      <c r="B86" s="1" t="s">
        <v>515</v>
      </c>
      <c r="C86" s="1">
        <v>6</v>
      </c>
      <c r="D86" s="1" t="s">
        <v>516</v>
      </c>
      <c r="E86" s="1" t="s">
        <v>1360</v>
      </c>
      <c r="F86" s="1" t="s">
        <v>1361</v>
      </c>
      <c r="G86" s="1" t="s">
        <v>1362</v>
      </c>
      <c r="H86" s="1" t="s">
        <v>1363</v>
      </c>
      <c r="I86" s="1">
        <v>63</v>
      </c>
      <c r="J86" s="1" t="s">
        <v>1362</v>
      </c>
      <c r="K86" s="1" t="s">
        <v>219</v>
      </c>
      <c r="L86" s="1" t="s">
        <v>1363</v>
      </c>
    </row>
    <row r="87" spans="1:13" ht="42.75" x14ac:dyDescent="0.2">
      <c r="A87" s="1">
        <v>1</v>
      </c>
      <c r="B87" s="1" t="s">
        <v>515</v>
      </c>
      <c r="C87" s="1">
        <v>6</v>
      </c>
      <c r="D87" s="1" t="s">
        <v>1364</v>
      </c>
      <c r="E87" s="1" t="s">
        <v>1365</v>
      </c>
      <c r="F87" s="1" t="s">
        <v>1366</v>
      </c>
      <c r="G87" s="1" t="s">
        <v>1367</v>
      </c>
      <c r="H87" s="1" t="s">
        <v>1368</v>
      </c>
      <c r="I87" s="1">
        <v>70</v>
      </c>
      <c r="J87" s="1" t="s">
        <v>1365</v>
      </c>
      <c r="K87" s="1" t="s">
        <v>219</v>
      </c>
      <c r="L87" s="1" t="s">
        <v>1366</v>
      </c>
    </row>
    <row r="88" spans="1:13" ht="42.75" x14ac:dyDescent="0.2">
      <c r="B88" s="1" t="s">
        <v>515</v>
      </c>
      <c r="C88" s="1">
        <v>7</v>
      </c>
      <c r="D88" s="1" t="s">
        <v>522</v>
      </c>
      <c r="E88" s="1" t="s">
        <v>762</v>
      </c>
      <c r="F88" s="1" t="s">
        <v>1369</v>
      </c>
      <c r="G88" s="1" t="s">
        <v>1370</v>
      </c>
      <c r="H88" s="1" t="s">
        <v>1371</v>
      </c>
      <c r="I88" s="1">
        <v>87</v>
      </c>
      <c r="J88" s="1" t="s">
        <v>1370</v>
      </c>
      <c r="K88" s="1" t="s">
        <v>94</v>
      </c>
      <c r="L88" s="1" t="s">
        <v>1371</v>
      </c>
      <c r="M88" s="1">
        <v>289</v>
      </c>
    </row>
    <row r="89" spans="1:13" ht="57" x14ac:dyDescent="0.2">
      <c r="B89" s="1" t="s">
        <v>515</v>
      </c>
      <c r="C89" s="1">
        <v>8</v>
      </c>
      <c r="D89" s="1" t="s">
        <v>537</v>
      </c>
      <c r="E89" s="1" t="s">
        <v>1372</v>
      </c>
      <c r="F89" s="1" t="s">
        <v>1373</v>
      </c>
      <c r="G89" s="1" t="s">
        <v>1374</v>
      </c>
      <c r="H89" s="1" t="s">
        <v>1375</v>
      </c>
      <c r="I89" s="1">
        <v>75</v>
      </c>
      <c r="J89" s="1" t="s">
        <v>1374</v>
      </c>
      <c r="K89" s="1" t="s">
        <v>94</v>
      </c>
      <c r="L89" s="1" t="s">
        <v>1375</v>
      </c>
      <c r="M89" s="1">
        <v>426</v>
      </c>
    </row>
    <row r="90" spans="1:13" ht="42.75" x14ac:dyDescent="0.2">
      <c r="B90" s="1" t="s">
        <v>515</v>
      </c>
      <c r="C90" s="1">
        <v>8</v>
      </c>
      <c r="D90" s="1" t="s">
        <v>1376</v>
      </c>
      <c r="E90" s="1" t="s">
        <v>262</v>
      </c>
      <c r="F90" s="1" t="s">
        <v>1377</v>
      </c>
      <c r="G90" s="1" t="s">
        <v>1266</v>
      </c>
      <c r="H90" s="1" t="s">
        <v>1378</v>
      </c>
      <c r="I90" s="1">
        <v>65</v>
      </c>
      <c r="J90" s="1" t="s">
        <v>262</v>
      </c>
      <c r="K90" s="1" t="s">
        <v>94</v>
      </c>
      <c r="L90" s="1" t="s">
        <v>1379</v>
      </c>
      <c r="M90" s="1">
        <v>427</v>
      </c>
    </row>
    <row r="91" spans="1:13" ht="57" x14ac:dyDescent="0.2">
      <c r="B91" s="1" t="s">
        <v>515</v>
      </c>
      <c r="C91" s="1">
        <v>8</v>
      </c>
      <c r="D91" s="1" t="s">
        <v>532</v>
      </c>
      <c r="E91" s="1" t="s">
        <v>1380</v>
      </c>
      <c r="F91" s="1" t="s">
        <v>1381</v>
      </c>
      <c r="G91" s="1" t="s">
        <v>1382</v>
      </c>
      <c r="H91" s="1" t="s">
        <v>1383</v>
      </c>
      <c r="I91" s="1">
        <v>73</v>
      </c>
      <c r="J91" s="1" t="s">
        <v>1382</v>
      </c>
      <c r="K91" s="1" t="s">
        <v>94</v>
      </c>
      <c r="L91" s="1" t="s">
        <v>1383</v>
      </c>
    </row>
    <row r="92" spans="1:13" ht="28.5" x14ac:dyDescent="0.2">
      <c r="B92" s="1" t="s">
        <v>515</v>
      </c>
      <c r="C92" s="1">
        <v>9</v>
      </c>
      <c r="D92" s="1" t="s">
        <v>542</v>
      </c>
      <c r="E92" s="1" t="s">
        <v>1384</v>
      </c>
      <c r="F92" s="1" t="s">
        <v>1385</v>
      </c>
      <c r="G92" s="1" t="s">
        <v>1386</v>
      </c>
      <c r="H92" s="1" t="s">
        <v>1387</v>
      </c>
      <c r="I92" s="1">
        <v>87</v>
      </c>
      <c r="J92" s="1" t="s">
        <v>1384</v>
      </c>
      <c r="K92" s="1" t="s">
        <v>94</v>
      </c>
      <c r="L92" s="1" t="s">
        <v>1385</v>
      </c>
    </row>
    <row r="93" spans="1:13" ht="57" x14ac:dyDescent="0.2">
      <c r="B93" s="1" t="s">
        <v>515</v>
      </c>
      <c r="C93" s="1">
        <v>9</v>
      </c>
      <c r="D93" s="1" t="s">
        <v>546</v>
      </c>
      <c r="E93" s="1" t="s">
        <v>1388</v>
      </c>
      <c r="F93" s="1" t="s">
        <v>1389</v>
      </c>
      <c r="G93" s="1" t="s">
        <v>1390</v>
      </c>
      <c r="H93" s="1" t="s">
        <v>1391</v>
      </c>
      <c r="I93" s="1">
        <v>76</v>
      </c>
      <c r="J93" s="1" t="s">
        <v>1392</v>
      </c>
      <c r="K93" s="1" t="s">
        <v>94</v>
      </c>
      <c r="L93" s="1" t="s">
        <v>1393</v>
      </c>
    </row>
    <row r="94" spans="1:13" ht="57" x14ac:dyDescent="0.2">
      <c r="B94" s="1" t="s">
        <v>551</v>
      </c>
      <c r="C94" s="1">
        <v>6</v>
      </c>
      <c r="D94" s="1" t="s">
        <v>552</v>
      </c>
      <c r="E94" s="1" t="s">
        <v>1394</v>
      </c>
      <c r="F94" s="1" t="s">
        <v>1395</v>
      </c>
      <c r="G94" s="1" t="s">
        <v>656</v>
      </c>
      <c r="H94" s="1" t="s">
        <v>1396</v>
      </c>
      <c r="I94" s="1">
        <v>72</v>
      </c>
      <c r="J94" s="1" t="s">
        <v>1394</v>
      </c>
      <c r="K94" s="1" t="s">
        <v>94</v>
      </c>
      <c r="L94" s="1" t="s">
        <v>1397</v>
      </c>
      <c r="M94" s="1">
        <v>194</v>
      </c>
    </row>
    <row r="95" spans="1:13" ht="42.75" x14ac:dyDescent="0.2">
      <c r="B95" s="1" t="s">
        <v>551</v>
      </c>
      <c r="C95" s="1">
        <v>8</v>
      </c>
      <c r="D95" s="1" t="s">
        <v>564</v>
      </c>
      <c r="E95" s="1" t="s">
        <v>1162</v>
      </c>
      <c r="F95" s="1" t="s">
        <v>1398</v>
      </c>
      <c r="G95" s="1" t="s">
        <v>1399</v>
      </c>
      <c r="H95" s="1" t="s">
        <v>1400</v>
      </c>
      <c r="I95" s="1">
        <v>71</v>
      </c>
      <c r="J95" s="1" t="s">
        <v>1162</v>
      </c>
      <c r="K95" s="1" t="s">
        <v>94</v>
      </c>
      <c r="L95" s="1" t="s">
        <v>1398</v>
      </c>
      <c r="M95" s="1">
        <v>362</v>
      </c>
    </row>
    <row r="96" spans="1:13" ht="57" x14ac:dyDescent="0.2">
      <c r="B96" s="1" t="s">
        <v>551</v>
      </c>
      <c r="C96" s="1">
        <v>9</v>
      </c>
      <c r="D96" s="1" t="s">
        <v>1401</v>
      </c>
      <c r="E96" s="1" t="s">
        <v>1402</v>
      </c>
      <c r="F96" s="1" t="s">
        <v>1403</v>
      </c>
      <c r="G96" s="1" t="s">
        <v>1404</v>
      </c>
      <c r="H96" s="1" t="s">
        <v>1405</v>
      </c>
      <c r="I96" s="1">
        <v>83</v>
      </c>
      <c r="J96" s="1" t="s">
        <v>1404</v>
      </c>
      <c r="K96" s="1" t="s">
        <v>94</v>
      </c>
      <c r="L96" s="1" t="s">
        <v>1405</v>
      </c>
      <c r="M96" s="1">
        <v>313</v>
      </c>
    </row>
    <row r="97" spans="2:13" ht="42.75" x14ac:dyDescent="0.2">
      <c r="B97" s="1" t="s">
        <v>551</v>
      </c>
      <c r="C97" s="1">
        <v>9</v>
      </c>
      <c r="D97" s="1" t="s">
        <v>557</v>
      </c>
      <c r="E97" s="1" t="s">
        <v>1406</v>
      </c>
      <c r="F97" s="1" t="s">
        <v>1407</v>
      </c>
      <c r="G97" s="1" t="s">
        <v>512</v>
      </c>
      <c r="H97" s="1" t="s">
        <v>1408</v>
      </c>
      <c r="I97" s="1">
        <v>93</v>
      </c>
      <c r="J97" s="1" t="s">
        <v>512</v>
      </c>
      <c r="K97" s="1" t="s">
        <v>94</v>
      </c>
      <c r="L97" s="1" t="s">
        <v>1408</v>
      </c>
      <c r="M97" s="1">
        <v>399</v>
      </c>
    </row>
    <row r="98" spans="2:13" ht="42.75" x14ac:dyDescent="0.2">
      <c r="B98" s="1" t="s">
        <v>569</v>
      </c>
      <c r="C98" s="1">
        <v>6</v>
      </c>
      <c r="D98" s="1" t="s">
        <v>570</v>
      </c>
      <c r="E98" s="1" t="s">
        <v>887</v>
      </c>
      <c r="F98" s="1" t="s">
        <v>1409</v>
      </c>
      <c r="G98" s="1" t="s">
        <v>1410</v>
      </c>
      <c r="H98" s="1" t="s">
        <v>1411</v>
      </c>
      <c r="I98" s="1">
        <v>65</v>
      </c>
      <c r="J98" s="1" t="s">
        <v>887</v>
      </c>
      <c r="K98" s="1" t="s">
        <v>88</v>
      </c>
      <c r="L98" s="1" t="s">
        <v>1409</v>
      </c>
      <c r="M98" s="1">
        <v>190</v>
      </c>
    </row>
    <row r="99" spans="2:13" ht="57" x14ac:dyDescent="0.2">
      <c r="B99" s="1" t="s">
        <v>569</v>
      </c>
      <c r="C99" s="1">
        <v>9</v>
      </c>
      <c r="D99" s="1" t="s">
        <v>1412</v>
      </c>
      <c r="E99" s="1" t="s">
        <v>1072</v>
      </c>
      <c r="F99" s="1" t="s">
        <v>1413</v>
      </c>
      <c r="G99" s="1" t="s">
        <v>120</v>
      </c>
      <c r="H99" s="1" t="s">
        <v>1414</v>
      </c>
      <c r="I99" s="1">
        <v>81</v>
      </c>
      <c r="J99" s="1" t="s">
        <v>120</v>
      </c>
      <c r="K99" s="1" t="s">
        <v>94</v>
      </c>
      <c r="L99" s="1" t="s">
        <v>1415</v>
      </c>
      <c r="M99" s="1">
        <v>426</v>
      </c>
    </row>
    <row r="100" spans="2:13" ht="42.75" x14ac:dyDescent="0.2">
      <c r="B100" s="1" t="s">
        <v>569</v>
      </c>
      <c r="C100" s="1">
        <v>10</v>
      </c>
      <c r="D100" s="1" t="s">
        <v>1416</v>
      </c>
      <c r="E100" s="1" t="s">
        <v>233</v>
      </c>
      <c r="F100" s="1" t="s">
        <v>1417</v>
      </c>
      <c r="G100" s="1" t="s">
        <v>230</v>
      </c>
      <c r="H100" s="1" t="s">
        <v>1418</v>
      </c>
      <c r="I100" s="1">
        <v>94</v>
      </c>
      <c r="J100" s="1" t="s">
        <v>233</v>
      </c>
      <c r="K100" s="1" t="s">
        <v>94</v>
      </c>
      <c r="L100" s="1" t="s">
        <v>1417</v>
      </c>
      <c r="M100" s="1">
        <v>395</v>
      </c>
    </row>
    <row r="101" spans="2:13" ht="42.75" x14ac:dyDescent="0.2">
      <c r="B101" s="1" t="s">
        <v>569</v>
      </c>
      <c r="C101" s="1">
        <v>10</v>
      </c>
      <c r="D101" s="1" t="s">
        <v>575</v>
      </c>
      <c r="E101" s="1" t="s">
        <v>1419</v>
      </c>
      <c r="F101" s="1" t="s">
        <v>1420</v>
      </c>
      <c r="G101" s="1" t="s">
        <v>1421</v>
      </c>
      <c r="H101" s="1" t="s">
        <v>1422</v>
      </c>
      <c r="I101" s="1">
        <v>93</v>
      </c>
      <c r="J101" s="1" t="s">
        <v>1419</v>
      </c>
      <c r="K101" s="1" t="s">
        <v>94</v>
      </c>
      <c r="L101" s="1" t="s">
        <v>1420</v>
      </c>
      <c r="M101" s="1">
        <v>655</v>
      </c>
    </row>
    <row r="102" spans="2:13" ht="42.75" x14ac:dyDescent="0.2">
      <c r="B102" s="1" t="s">
        <v>581</v>
      </c>
      <c r="C102" s="1">
        <v>6</v>
      </c>
      <c r="D102" s="1" t="s">
        <v>1423</v>
      </c>
      <c r="E102" s="1" t="s">
        <v>1104</v>
      </c>
      <c r="F102" s="1" t="s">
        <v>1424</v>
      </c>
      <c r="G102" s="1" t="s">
        <v>1108</v>
      </c>
      <c r="H102" s="1" t="s">
        <v>1425</v>
      </c>
      <c r="I102" s="1">
        <v>75</v>
      </c>
      <c r="J102" s="1" t="s">
        <v>1108</v>
      </c>
      <c r="K102" s="1" t="s">
        <v>88</v>
      </c>
      <c r="L102" s="1" t="s">
        <v>1425</v>
      </c>
      <c r="M102" s="1">
        <v>212</v>
      </c>
    </row>
    <row r="103" spans="2:13" ht="42.75" x14ac:dyDescent="0.2">
      <c r="B103" s="1" t="s">
        <v>581</v>
      </c>
      <c r="C103" s="1">
        <v>6</v>
      </c>
      <c r="D103" s="1" t="s">
        <v>582</v>
      </c>
      <c r="E103" s="1" t="s">
        <v>1426</v>
      </c>
      <c r="F103" s="1" t="s">
        <v>1427</v>
      </c>
      <c r="G103" s="1" t="s">
        <v>1235</v>
      </c>
      <c r="H103" s="1" t="s">
        <v>1428</v>
      </c>
      <c r="I103" s="1">
        <v>67</v>
      </c>
      <c r="J103" s="1" t="s">
        <v>1235</v>
      </c>
      <c r="K103" s="1" t="s">
        <v>88</v>
      </c>
      <c r="L103" s="1" t="s">
        <v>1428</v>
      </c>
      <c r="M103" s="1">
        <v>153</v>
      </c>
    </row>
    <row r="104" spans="2:13" ht="42.75" x14ac:dyDescent="0.2">
      <c r="B104" s="1" t="s">
        <v>581</v>
      </c>
      <c r="C104" s="1">
        <v>6</v>
      </c>
      <c r="D104" s="1" t="s">
        <v>589</v>
      </c>
      <c r="E104" s="1" t="s">
        <v>1429</v>
      </c>
      <c r="F104" s="1" t="s">
        <v>1430</v>
      </c>
      <c r="G104" s="1" t="s">
        <v>1431</v>
      </c>
      <c r="H104" s="1" t="s">
        <v>1432</v>
      </c>
      <c r="I104" s="1">
        <v>68</v>
      </c>
      <c r="J104" s="1" t="s">
        <v>1429</v>
      </c>
      <c r="K104" s="1" t="s">
        <v>94</v>
      </c>
      <c r="L104" s="1" t="s">
        <v>1430</v>
      </c>
      <c r="M104" s="1">
        <v>239</v>
      </c>
    </row>
    <row r="105" spans="2:13" ht="28.5" x14ac:dyDescent="0.2">
      <c r="B105" s="1" t="s">
        <v>581</v>
      </c>
      <c r="C105" s="1">
        <v>7</v>
      </c>
      <c r="D105" s="1" t="s">
        <v>594</v>
      </c>
      <c r="E105" s="1" t="s">
        <v>1433</v>
      </c>
      <c r="F105" s="1" t="s">
        <v>1434</v>
      </c>
      <c r="G105" s="1" t="s">
        <v>473</v>
      </c>
      <c r="H105" s="1" t="s">
        <v>1435</v>
      </c>
      <c r="J105" s="1" t="s">
        <v>473</v>
      </c>
      <c r="K105" s="1" t="s">
        <v>94</v>
      </c>
      <c r="L105" s="1" t="s">
        <v>1435</v>
      </c>
      <c r="M105" s="1">
        <v>344</v>
      </c>
    </row>
    <row r="106" spans="2:13" ht="57" x14ac:dyDescent="0.2">
      <c r="B106" s="1" t="s">
        <v>581</v>
      </c>
      <c r="C106" s="1">
        <v>8</v>
      </c>
      <c r="D106" s="1" t="s">
        <v>603</v>
      </c>
      <c r="E106" s="1" t="s">
        <v>1436</v>
      </c>
      <c r="F106" s="1" t="s">
        <v>1437</v>
      </c>
      <c r="G106" s="1" t="s">
        <v>1438</v>
      </c>
      <c r="H106" s="1" t="s">
        <v>1439</v>
      </c>
      <c r="I106" s="1">
        <v>75</v>
      </c>
      <c r="J106" s="1" t="s">
        <v>1436</v>
      </c>
      <c r="K106" s="1" t="s">
        <v>94</v>
      </c>
      <c r="L106" s="1" t="s">
        <v>1437</v>
      </c>
      <c r="M106" s="1">
        <v>339</v>
      </c>
    </row>
    <row r="107" spans="2:13" ht="57" x14ac:dyDescent="0.2">
      <c r="B107" s="1" t="s">
        <v>581</v>
      </c>
      <c r="C107" s="1">
        <v>8</v>
      </c>
      <c r="D107" s="1" t="s">
        <v>1440</v>
      </c>
      <c r="E107" s="1" t="s">
        <v>1441</v>
      </c>
      <c r="F107" s="1" t="s">
        <v>1442</v>
      </c>
      <c r="G107" s="1" t="s">
        <v>1443</v>
      </c>
      <c r="H107" s="1" t="s">
        <v>1444</v>
      </c>
      <c r="I107" s="1">
        <v>84</v>
      </c>
      <c r="J107" s="1" t="s">
        <v>1443</v>
      </c>
      <c r="K107" s="1" t="s">
        <v>94</v>
      </c>
      <c r="L107" s="1" t="s">
        <v>1445</v>
      </c>
      <c r="M107" s="1">
        <v>671</v>
      </c>
    </row>
    <row r="108" spans="2:13" ht="42.75" x14ac:dyDescent="0.2">
      <c r="B108" s="1" t="s">
        <v>581</v>
      </c>
      <c r="C108" s="1">
        <v>10</v>
      </c>
      <c r="D108" s="1" t="s">
        <v>1446</v>
      </c>
      <c r="E108" s="1" t="s">
        <v>1447</v>
      </c>
      <c r="F108" s="1" t="s">
        <v>1448</v>
      </c>
      <c r="G108" s="1" t="s">
        <v>270</v>
      </c>
      <c r="H108" s="1" t="s">
        <v>1449</v>
      </c>
      <c r="I108" s="1">
        <v>72</v>
      </c>
      <c r="J108" s="1" t="s">
        <v>1447</v>
      </c>
      <c r="K108" s="1" t="s">
        <v>94</v>
      </c>
      <c r="L108" s="1" t="s">
        <v>1448</v>
      </c>
      <c r="M108" s="1">
        <v>543</v>
      </c>
    </row>
    <row r="109" spans="2:13" ht="57" x14ac:dyDescent="0.2">
      <c r="B109" s="1" t="s">
        <v>581</v>
      </c>
      <c r="C109" s="1">
        <v>10</v>
      </c>
      <c r="D109" s="1" t="s">
        <v>608</v>
      </c>
      <c r="E109" s="1" t="s">
        <v>1450</v>
      </c>
      <c r="F109" s="1" t="s">
        <v>1451</v>
      </c>
      <c r="G109" s="1" t="s">
        <v>1452</v>
      </c>
      <c r="H109" s="1" t="s">
        <v>1453</v>
      </c>
      <c r="I109" s="1">
        <v>111</v>
      </c>
      <c r="J109" s="1" t="s">
        <v>1454</v>
      </c>
      <c r="K109" s="1" t="s">
        <v>94</v>
      </c>
      <c r="L109" s="1" t="s">
        <v>1455</v>
      </c>
    </row>
    <row r="110" spans="2:13" ht="57" x14ac:dyDescent="0.2">
      <c r="B110" s="1" t="s">
        <v>581</v>
      </c>
      <c r="C110" s="1">
        <v>10</v>
      </c>
      <c r="D110" s="1" t="s">
        <v>613</v>
      </c>
      <c r="E110" s="1" t="s">
        <v>1456</v>
      </c>
      <c r="F110" s="1" t="s">
        <v>1457</v>
      </c>
      <c r="G110" s="1" t="s">
        <v>448</v>
      </c>
      <c r="H110" s="1" t="s">
        <v>1458</v>
      </c>
      <c r="I110" s="1">
        <v>107</v>
      </c>
      <c r="J110" s="1" t="s">
        <v>448</v>
      </c>
      <c r="K110" s="1" t="s">
        <v>94</v>
      </c>
      <c r="L110" s="1" t="s">
        <v>1458</v>
      </c>
    </row>
    <row r="111" spans="2:13" ht="42.75" x14ac:dyDescent="0.2">
      <c r="B111" s="1" t="s">
        <v>618</v>
      </c>
      <c r="C111" s="1">
        <v>6</v>
      </c>
      <c r="D111" s="1" t="s">
        <v>619</v>
      </c>
      <c r="E111" s="1" t="s">
        <v>1459</v>
      </c>
      <c r="F111" s="1" t="s">
        <v>1460</v>
      </c>
      <c r="G111" s="1" t="s">
        <v>751</v>
      </c>
      <c r="H111" s="1" t="s">
        <v>1461</v>
      </c>
      <c r="I111" s="1">
        <v>74</v>
      </c>
      <c r="J111" s="1" t="s">
        <v>592</v>
      </c>
      <c r="K111" s="1" t="s">
        <v>88</v>
      </c>
      <c r="L111" s="1" t="s">
        <v>1462</v>
      </c>
      <c r="M111" s="1">
        <v>255</v>
      </c>
    </row>
    <row r="112" spans="2:13" ht="42.75" x14ac:dyDescent="0.2">
      <c r="B112" s="1" t="s">
        <v>618</v>
      </c>
      <c r="C112" s="1">
        <v>6</v>
      </c>
      <c r="D112" s="1" t="s">
        <v>624</v>
      </c>
      <c r="E112" s="1" t="s">
        <v>215</v>
      </c>
      <c r="F112" s="1" t="s">
        <v>1463</v>
      </c>
      <c r="G112" s="1" t="s">
        <v>223</v>
      </c>
      <c r="H112" s="1" t="s">
        <v>1464</v>
      </c>
      <c r="I112" s="1">
        <v>65</v>
      </c>
      <c r="J112" s="1" t="s">
        <v>223</v>
      </c>
      <c r="K112" s="1" t="s">
        <v>94</v>
      </c>
      <c r="L112" s="1" t="s">
        <v>1464</v>
      </c>
      <c r="M112" s="1">
        <v>261</v>
      </c>
    </row>
    <row r="113" spans="1:13" ht="57" x14ac:dyDescent="0.2">
      <c r="B113" s="1" t="s">
        <v>618</v>
      </c>
      <c r="C113" s="1">
        <v>7</v>
      </c>
      <c r="D113" s="1" t="s">
        <v>634</v>
      </c>
      <c r="E113" s="1" t="s">
        <v>553</v>
      </c>
      <c r="F113" s="1" t="s">
        <v>1465</v>
      </c>
      <c r="G113" s="1" t="s">
        <v>1466</v>
      </c>
      <c r="H113" s="1" t="s">
        <v>1467</v>
      </c>
      <c r="I113" s="1">
        <v>71</v>
      </c>
      <c r="J113" s="1" t="s">
        <v>1466</v>
      </c>
      <c r="K113" s="1" t="s">
        <v>94</v>
      </c>
      <c r="L113" s="1" t="s">
        <v>1467</v>
      </c>
    </row>
    <row r="114" spans="1:13" ht="57" x14ac:dyDescent="0.2">
      <c r="B114" s="1" t="s">
        <v>618</v>
      </c>
      <c r="C114" s="1">
        <v>8</v>
      </c>
      <c r="D114" s="1" t="s">
        <v>630</v>
      </c>
      <c r="E114" s="1" t="s">
        <v>743</v>
      </c>
      <c r="F114" s="1" t="s">
        <v>1468</v>
      </c>
      <c r="G114" s="1" t="s">
        <v>1469</v>
      </c>
      <c r="H114" s="1" t="s">
        <v>1470</v>
      </c>
      <c r="I114" s="1">
        <v>67</v>
      </c>
      <c r="J114" s="1" t="s">
        <v>743</v>
      </c>
      <c r="K114" s="1" t="s">
        <v>94</v>
      </c>
      <c r="L114" s="1" t="s">
        <v>1468</v>
      </c>
      <c r="M114" s="1">
        <v>378</v>
      </c>
    </row>
    <row r="115" spans="1:13" ht="42.75" x14ac:dyDescent="0.2">
      <c r="B115" s="1" t="s">
        <v>618</v>
      </c>
      <c r="C115" s="1">
        <v>9</v>
      </c>
      <c r="D115" s="1" t="s">
        <v>643</v>
      </c>
      <c r="E115" s="1" t="s">
        <v>1471</v>
      </c>
      <c r="F115" s="1" t="s">
        <v>1472</v>
      </c>
      <c r="G115" s="1" t="s">
        <v>1138</v>
      </c>
      <c r="H115" s="1" t="s">
        <v>1473</v>
      </c>
      <c r="I115" s="1">
        <v>76</v>
      </c>
      <c r="J115" s="1" t="s">
        <v>1471</v>
      </c>
      <c r="K115" s="1" t="s">
        <v>94</v>
      </c>
      <c r="L115" s="1" t="s">
        <v>1472</v>
      </c>
    </row>
    <row r="116" spans="1:13" ht="28.5" x14ac:dyDescent="0.2">
      <c r="B116" s="1" t="s">
        <v>506</v>
      </c>
      <c r="C116" s="1">
        <v>6</v>
      </c>
      <c r="D116" s="1" t="s">
        <v>649</v>
      </c>
      <c r="E116" s="1" t="s">
        <v>262</v>
      </c>
      <c r="F116" s="1" t="s">
        <v>1474</v>
      </c>
      <c r="G116" s="1" t="s">
        <v>1301</v>
      </c>
      <c r="H116" s="1" t="s">
        <v>1475</v>
      </c>
      <c r="J116" s="1" t="s">
        <v>1301</v>
      </c>
      <c r="K116" s="1" t="s">
        <v>94</v>
      </c>
      <c r="L116" s="1" t="s">
        <v>1475</v>
      </c>
      <c r="M116" s="1">
        <v>381</v>
      </c>
    </row>
    <row r="117" spans="1:13" ht="28.5" x14ac:dyDescent="0.2">
      <c r="B117" s="1" t="s">
        <v>506</v>
      </c>
      <c r="C117" s="1">
        <v>6</v>
      </c>
      <c r="D117" s="1" t="s">
        <v>655</v>
      </c>
      <c r="E117" s="1" t="s">
        <v>1476</v>
      </c>
      <c r="F117" s="1" t="s">
        <v>1477</v>
      </c>
      <c r="G117" s="1" t="s">
        <v>146</v>
      </c>
      <c r="H117" s="1" t="s">
        <v>1478</v>
      </c>
      <c r="J117" s="1" t="s">
        <v>1476</v>
      </c>
      <c r="K117" s="1" t="s">
        <v>94</v>
      </c>
      <c r="L117" s="1" t="s">
        <v>1477</v>
      </c>
      <c r="M117" s="1">
        <v>254</v>
      </c>
    </row>
    <row r="118" spans="1:13" ht="57" x14ac:dyDescent="0.2">
      <c r="A118" s="1">
        <v>1</v>
      </c>
      <c r="B118" s="1" t="s">
        <v>506</v>
      </c>
      <c r="C118" s="1">
        <v>6</v>
      </c>
      <c r="D118" s="1" t="s">
        <v>666</v>
      </c>
      <c r="E118" s="1" t="s">
        <v>1479</v>
      </c>
      <c r="F118" s="1" t="s">
        <v>1480</v>
      </c>
      <c r="G118" s="1" t="s">
        <v>1066</v>
      </c>
      <c r="H118" s="1" t="s">
        <v>1481</v>
      </c>
      <c r="I118" s="1">
        <v>61</v>
      </c>
      <c r="J118" s="1" t="s">
        <v>1479</v>
      </c>
      <c r="K118" s="1" t="s">
        <v>88</v>
      </c>
      <c r="L118" s="1" t="s">
        <v>1480</v>
      </c>
    </row>
    <row r="119" spans="1:13" ht="42.75" x14ac:dyDescent="0.2">
      <c r="A119" s="1">
        <v>1</v>
      </c>
      <c r="B119" s="1" t="s">
        <v>506</v>
      </c>
      <c r="C119" s="1">
        <v>6</v>
      </c>
      <c r="D119" s="1" t="s">
        <v>660</v>
      </c>
      <c r="E119" s="1" t="s">
        <v>687</v>
      </c>
      <c r="F119" s="1" t="s">
        <v>1482</v>
      </c>
      <c r="G119" s="1" t="s">
        <v>749</v>
      </c>
      <c r="H119" s="1" t="s">
        <v>1483</v>
      </c>
      <c r="I119" s="1">
        <v>61</v>
      </c>
      <c r="J119" s="1" t="s">
        <v>687</v>
      </c>
      <c r="K119" s="1" t="s">
        <v>88</v>
      </c>
      <c r="L119" s="1" t="s">
        <v>1482</v>
      </c>
    </row>
    <row r="120" spans="1:13" ht="42.75" x14ac:dyDescent="0.2">
      <c r="B120" s="1" t="s">
        <v>506</v>
      </c>
      <c r="C120" s="1">
        <v>9</v>
      </c>
      <c r="D120" s="1" t="s">
        <v>676</v>
      </c>
      <c r="E120" s="1" t="s">
        <v>1484</v>
      </c>
      <c r="F120" s="1" t="s">
        <v>1485</v>
      </c>
      <c r="G120" s="1" t="s">
        <v>1486</v>
      </c>
      <c r="H120" s="1" t="s">
        <v>1487</v>
      </c>
      <c r="J120" s="1" t="s">
        <v>148</v>
      </c>
      <c r="K120" s="1" t="s">
        <v>94</v>
      </c>
      <c r="L120" s="1" t="s">
        <v>1488</v>
      </c>
      <c r="M120" s="1">
        <v>411</v>
      </c>
    </row>
    <row r="121" spans="1:13" ht="57" x14ac:dyDescent="0.2">
      <c r="B121" s="1" t="s">
        <v>506</v>
      </c>
      <c r="C121" s="1">
        <v>9</v>
      </c>
      <c r="D121" s="1" t="s">
        <v>672</v>
      </c>
      <c r="E121" s="1" t="s">
        <v>1469</v>
      </c>
      <c r="F121" s="1" t="s">
        <v>1489</v>
      </c>
      <c r="G121" s="1" t="s">
        <v>1490</v>
      </c>
      <c r="H121" s="1" t="s">
        <v>1491</v>
      </c>
      <c r="I121" s="1">
        <v>88</v>
      </c>
      <c r="J121" s="1" t="s">
        <v>1490</v>
      </c>
      <c r="K121" s="1" t="s">
        <v>94</v>
      </c>
      <c r="L121" s="1" t="s">
        <v>1491</v>
      </c>
      <c r="M121" s="1">
        <v>423</v>
      </c>
    </row>
    <row r="122" spans="1:13" ht="42.75" x14ac:dyDescent="0.2">
      <c r="B122" s="1" t="s">
        <v>681</v>
      </c>
      <c r="C122" s="1">
        <v>7</v>
      </c>
      <c r="D122" s="1" t="s">
        <v>682</v>
      </c>
      <c r="E122" s="1" t="s">
        <v>1492</v>
      </c>
      <c r="F122" s="1" t="s">
        <v>1493</v>
      </c>
      <c r="G122" s="1" t="s">
        <v>1494</v>
      </c>
      <c r="H122" s="1" t="s">
        <v>1495</v>
      </c>
      <c r="I122" s="1">
        <v>70</v>
      </c>
      <c r="J122" s="1" t="s">
        <v>1492</v>
      </c>
      <c r="K122" s="1" t="s">
        <v>94</v>
      </c>
      <c r="L122" s="1" t="s">
        <v>1493</v>
      </c>
      <c r="M122" s="1">
        <v>258</v>
      </c>
    </row>
    <row r="123" spans="1:13" ht="28.5" x14ac:dyDescent="0.2">
      <c r="B123" s="1" t="s">
        <v>681</v>
      </c>
      <c r="C123" s="1">
        <v>8</v>
      </c>
      <c r="D123" s="1" t="s">
        <v>1496</v>
      </c>
      <c r="E123" s="1" t="s">
        <v>1497</v>
      </c>
      <c r="F123" s="1" t="s">
        <v>1498</v>
      </c>
      <c r="G123" s="1" t="s">
        <v>1499</v>
      </c>
      <c r="H123" s="1" t="s">
        <v>1500</v>
      </c>
      <c r="J123" s="1" t="s">
        <v>1497</v>
      </c>
      <c r="K123" s="1" t="s">
        <v>94</v>
      </c>
      <c r="L123" s="1" t="s">
        <v>1498</v>
      </c>
      <c r="M123" s="1">
        <v>393</v>
      </c>
    </row>
    <row r="124" spans="1:13" ht="42.75" x14ac:dyDescent="0.2">
      <c r="B124" s="1" t="s">
        <v>691</v>
      </c>
      <c r="C124" s="1">
        <v>6</v>
      </c>
      <c r="D124" s="1" t="s">
        <v>692</v>
      </c>
      <c r="E124" s="1" t="s">
        <v>868</v>
      </c>
      <c r="F124" s="1" t="s">
        <v>1501</v>
      </c>
      <c r="G124" s="1" t="s">
        <v>1502</v>
      </c>
      <c r="H124" s="1" t="s">
        <v>1503</v>
      </c>
      <c r="J124" s="1" t="s">
        <v>1502</v>
      </c>
      <c r="K124" s="1" t="s">
        <v>88</v>
      </c>
      <c r="L124" s="1" t="s">
        <v>1503</v>
      </c>
      <c r="M124" s="1">
        <v>216</v>
      </c>
    </row>
    <row r="125" spans="1:13" ht="42.75" x14ac:dyDescent="0.2">
      <c r="B125" s="1" t="s">
        <v>691</v>
      </c>
      <c r="C125" s="1">
        <v>9</v>
      </c>
      <c r="D125" s="1" t="s">
        <v>695</v>
      </c>
      <c r="E125" s="1" t="s">
        <v>327</v>
      </c>
      <c r="F125" s="1" t="s">
        <v>1504</v>
      </c>
      <c r="G125" s="1" t="s">
        <v>332</v>
      </c>
      <c r="H125" s="1" t="s">
        <v>1505</v>
      </c>
      <c r="I125" s="1">
        <v>78</v>
      </c>
      <c r="J125" s="1" t="s">
        <v>327</v>
      </c>
      <c r="K125" s="1" t="s">
        <v>94</v>
      </c>
      <c r="L125" s="1" t="s">
        <v>1504</v>
      </c>
      <c r="M125" s="1">
        <v>585</v>
      </c>
    </row>
    <row r="126" spans="1:13" ht="57" x14ac:dyDescent="0.2">
      <c r="B126" s="1" t="s">
        <v>691</v>
      </c>
      <c r="C126" s="1">
        <v>10</v>
      </c>
      <c r="D126" s="1" t="s">
        <v>699</v>
      </c>
      <c r="E126" s="1" t="s">
        <v>300</v>
      </c>
      <c r="F126" s="1" t="s">
        <v>1506</v>
      </c>
      <c r="G126" s="1" t="s">
        <v>1507</v>
      </c>
      <c r="H126" s="1" t="s">
        <v>1508</v>
      </c>
      <c r="I126" s="1">
        <v>90</v>
      </c>
      <c r="J126" s="1" t="s">
        <v>477</v>
      </c>
      <c r="K126" s="1" t="s">
        <v>94</v>
      </c>
      <c r="L126" s="1" t="s">
        <v>1509</v>
      </c>
      <c r="M126" s="1">
        <v>474</v>
      </c>
    </row>
    <row r="127" spans="1:13" ht="42.75" x14ac:dyDescent="0.2">
      <c r="B127" s="1" t="s">
        <v>703</v>
      </c>
      <c r="C127" s="1">
        <v>6</v>
      </c>
      <c r="D127" s="1" t="s">
        <v>1510</v>
      </c>
      <c r="E127" s="1" t="s">
        <v>1511</v>
      </c>
      <c r="F127" s="1" t="s">
        <v>1512</v>
      </c>
      <c r="G127" s="1" t="s">
        <v>1513</v>
      </c>
      <c r="H127" s="1" t="s">
        <v>1514</v>
      </c>
      <c r="I127" s="1">
        <v>68</v>
      </c>
      <c r="J127" s="1" t="s">
        <v>1513</v>
      </c>
      <c r="K127" s="1" t="s">
        <v>88</v>
      </c>
      <c r="L127" s="1" t="s">
        <v>1514</v>
      </c>
      <c r="M127" s="1">
        <v>171</v>
      </c>
    </row>
    <row r="128" spans="1:13" ht="57" x14ac:dyDescent="0.2">
      <c r="B128" s="1" t="s">
        <v>703</v>
      </c>
      <c r="C128" s="1">
        <v>6</v>
      </c>
      <c r="D128" s="1" t="s">
        <v>704</v>
      </c>
      <c r="E128" s="1" t="s">
        <v>1220</v>
      </c>
      <c r="F128" s="1" t="s">
        <v>1515</v>
      </c>
      <c r="G128" s="1" t="s">
        <v>1516</v>
      </c>
      <c r="H128" s="1" t="s">
        <v>1517</v>
      </c>
      <c r="I128" s="1">
        <v>69</v>
      </c>
      <c r="J128" s="1" t="s">
        <v>1516</v>
      </c>
      <c r="K128" s="1" t="s">
        <v>88</v>
      </c>
      <c r="L128" s="1" t="s">
        <v>1517</v>
      </c>
    </row>
    <row r="129" spans="2:15" ht="57" x14ac:dyDescent="0.2">
      <c r="B129" s="1" t="s">
        <v>703</v>
      </c>
      <c r="C129" s="1">
        <v>7</v>
      </c>
      <c r="D129" s="1" t="s">
        <v>708</v>
      </c>
      <c r="E129" s="1" t="s">
        <v>1518</v>
      </c>
      <c r="F129" s="1" t="s">
        <v>1519</v>
      </c>
      <c r="G129" s="1" t="s">
        <v>1520</v>
      </c>
      <c r="H129" s="1" t="s">
        <v>1521</v>
      </c>
      <c r="I129" s="1">
        <v>68</v>
      </c>
      <c r="J129" s="1" t="s">
        <v>1520</v>
      </c>
      <c r="K129" s="1" t="s">
        <v>88</v>
      </c>
      <c r="L129" s="1" t="s">
        <v>1521</v>
      </c>
      <c r="M129" s="1">
        <v>185</v>
      </c>
    </row>
    <row r="130" spans="2:15" ht="57" x14ac:dyDescent="0.2">
      <c r="B130" s="1" t="s">
        <v>703</v>
      </c>
      <c r="C130" s="1">
        <v>8</v>
      </c>
      <c r="D130" s="1" t="s">
        <v>713</v>
      </c>
      <c r="E130" s="1" t="s">
        <v>813</v>
      </c>
      <c r="F130" s="1" t="s">
        <v>1522</v>
      </c>
      <c r="G130" s="1" t="s">
        <v>1523</v>
      </c>
      <c r="H130" s="1" t="s">
        <v>1524</v>
      </c>
      <c r="I130" s="1">
        <v>89</v>
      </c>
      <c r="J130" s="1" t="s">
        <v>813</v>
      </c>
      <c r="K130" s="1" t="s">
        <v>94</v>
      </c>
      <c r="L130" s="1" t="s">
        <v>1522</v>
      </c>
      <c r="M130" s="1">
        <v>357</v>
      </c>
    </row>
    <row r="131" spans="2:15" ht="42.75" x14ac:dyDescent="0.2">
      <c r="B131" s="1" t="s">
        <v>703</v>
      </c>
      <c r="C131" s="1">
        <v>9</v>
      </c>
      <c r="D131" s="1" t="s">
        <v>703</v>
      </c>
      <c r="E131" s="1" t="s">
        <v>1525</v>
      </c>
      <c r="F131" s="1" t="s">
        <v>1526</v>
      </c>
      <c r="G131" s="1" t="s">
        <v>1527</v>
      </c>
      <c r="H131" s="1" t="s">
        <v>1528</v>
      </c>
      <c r="I131" s="1">
        <v>81</v>
      </c>
      <c r="J131" s="1" t="s">
        <v>1525</v>
      </c>
      <c r="K131" s="1" t="s">
        <v>94</v>
      </c>
      <c r="L131" s="1" t="s">
        <v>1526</v>
      </c>
    </row>
    <row r="132" spans="2:15" ht="42.75" x14ac:dyDescent="0.2">
      <c r="B132" s="1" t="s">
        <v>722</v>
      </c>
      <c r="C132" s="1">
        <v>6</v>
      </c>
      <c r="D132" s="1" t="s">
        <v>723</v>
      </c>
      <c r="E132" s="1" t="s">
        <v>1529</v>
      </c>
      <c r="F132" s="1" t="s">
        <v>1530</v>
      </c>
      <c r="G132" s="1" t="s">
        <v>1531</v>
      </c>
      <c r="H132" s="1" t="s">
        <v>1532</v>
      </c>
      <c r="I132" s="1">
        <v>70</v>
      </c>
      <c r="J132" s="1" t="s">
        <v>1529</v>
      </c>
      <c r="K132" s="1" t="s">
        <v>219</v>
      </c>
      <c r="L132" s="1" t="s">
        <v>1530</v>
      </c>
      <c r="M132" s="1">
        <v>445</v>
      </c>
    </row>
    <row r="133" spans="2:15" ht="42.75" x14ac:dyDescent="0.2">
      <c r="B133" s="1" t="s">
        <v>722</v>
      </c>
      <c r="C133" s="1">
        <v>6</v>
      </c>
      <c r="D133" s="1" t="s">
        <v>727</v>
      </c>
      <c r="E133" s="1" t="s">
        <v>1533</v>
      </c>
      <c r="F133" s="1" t="s">
        <v>1534</v>
      </c>
      <c r="G133" s="1" t="s">
        <v>1535</v>
      </c>
      <c r="H133" s="1" t="s">
        <v>1536</v>
      </c>
      <c r="I133" s="1">
        <v>58</v>
      </c>
      <c r="J133" s="1" t="s">
        <v>1535</v>
      </c>
      <c r="K133" s="1" t="s">
        <v>94</v>
      </c>
      <c r="L133" s="1" t="s">
        <v>1536</v>
      </c>
    </row>
    <row r="134" spans="2:15" ht="28.5" x14ac:dyDescent="0.2">
      <c r="B134" s="1" t="s">
        <v>722</v>
      </c>
      <c r="C134" s="1">
        <v>9</v>
      </c>
      <c r="D134" s="1" t="s">
        <v>742</v>
      </c>
      <c r="E134" s="1" t="s">
        <v>1537</v>
      </c>
      <c r="F134" s="1" t="s">
        <v>1538</v>
      </c>
      <c r="G134" s="1" t="s">
        <v>1539</v>
      </c>
      <c r="H134" s="1" t="s">
        <v>1540</v>
      </c>
      <c r="J134" s="1" t="s">
        <v>1539</v>
      </c>
      <c r="K134" s="1" t="s">
        <v>94</v>
      </c>
      <c r="L134" s="1" t="s">
        <v>1540</v>
      </c>
      <c r="M134" s="1">
        <v>482</v>
      </c>
    </row>
    <row r="135" spans="2:15" ht="42.75" x14ac:dyDescent="0.2">
      <c r="B135" s="1" t="s">
        <v>722</v>
      </c>
      <c r="C135" s="1">
        <v>9</v>
      </c>
      <c r="D135" s="1" t="s">
        <v>731</v>
      </c>
      <c r="E135" s="1" t="s">
        <v>1541</v>
      </c>
      <c r="F135" s="1" t="s">
        <v>1542</v>
      </c>
      <c r="G135" s="1" t="s">
        <v>1543</v>
      </c>
      <c r="H135" s="1" t="s">
        <v>1544</v>
      </c>
      <c r="I135" s="1">
        <v>79</v>
      </c>
      <c r="J135" s="1" t="s">
        <v>1545</v>
      </c>
      <c r="K135" s="1" t="s">
        <v>94</v>
      </c>
      <c r="L135" s="1" t="s">
        <v>1546</v>
      </c>
      <c r="M135" s="1">
        <v>423</v>
      </c>
    </row>
    <row r="136" spans="2:15" ht="57" x14ac:dyDescent="0.2">
      <c r="B136" s="1" t="s">
        <v>722</v>
      </c>
      <c r="C136" s="1">
        <v>9</v>
      </c>
      <c r="D136" s="1" t="s">
        <v>738</v>
      </c>
      <c r="E136" s="1" t="s">
        <v>1146</v>
      </c>
      <c r="F136" s="1" t="s">
        <v>1547</v>
      </c>
      <c r="G136" s="1" t="s">
        <v>1548</v>
      </c>
      <c r="H136" s="1" t="s">
        <v>1549</v>
      </c>
      <c r="I136" s="1">
        <v>72</v>
      </c>
      <c r="J136" s="1" t="s">
        <v>1550</v>
      </c>
      <c r="K136" s="1" t="s">
        <v>94</v>
      </c>
      <c r="L136" s="1" t="s">
        <v>1551</v>
      </c>
      <c r="M136" s="1">
        <v>240</v>
      </c>
    </row>
    <row r="137" spans="2:15" ht="42.75" x14ac:dyDescent="0.2">
      <c r="B137" s="1" t="s">
        <v>747</v>
      </c>
      <c r="C137" s="1">
        <v>6</v>
      </c>
      <c r="D137" s="1" t="s">
        <v>1552</v>
      </c>
      <c r="E137" s="1" t="s">
        <v>1336</v>
      </c>
      <c r="F137" s="1" t="s">
        <v>1553</v>
      </c>
      <c r="G137" s="1" t="s">
        <v>656</v>
      </c>
      <c r="H137" s="1" t="s">
        <v>1554</v>
      </c>
      <c r="I137" s="1">
        <v>68</v>
      </c>
      <c r="J137" s="1" t="s">
        <v>1336</v>
      </c>
      <c r="K137" s="1" t="s">
        <v>88</v>
      </c>
      <c r="L137" s="1" t="s">
        <v>1553</v>
      </c>
      <c r="M137" s="1">
        <v>192</v>
      </c>
    </row>
    <row r="138" spans="2:15" ht="57" x14ac:dyDescent="0.2">
      <c r="B138" s="1" t="s">
        <v>747</v>
      </c>
      <c r="C138" s="1">
        <v>6</v>
      </c>
      <c r="D138" s="1" t="s">
        <v>759</v>
      </c>
      <c r="E138" s="1" t="s">
        <v>1555</v>
      </c>
      <c r="F138" s="1" t="s">
        <v>1556</v>
      </c>
      <c r="G138" s="1" t="s">
        <v>1557</v>
      </c>
      <c r="H138" s="1" t="s">
        <v>1558</v>
      </c>
      <c r="I138" s="1">
        <v>77</v>
      </c>
      <c r="J138" s="1" t="s">
        <v>1557</v>
      </c>
      <c r="K138" s="1" t="s">
        <v>88</v>
      </c>
      <c r="L138" s="1" t="s">
        <v>1558</v>
      </c>
    </row>
    <row r="139" spans="2:15" ht="28.5" x14ac:dyDescent="0.2">
      <c r="B139" s="1" t="s">
        <v>747</v>
      </c>
      <c r="C139" s="1">
        <v>7</v>
      </c>
      <c r="D139" s="1" t="s">
        <v>764</v>
      </c>
      <c r="E139" s="1" t="s">
        <v>1030</v>
      </c>
      <c r="F139" s="1" t="s">
        <v>1559</v>
      </c>
      <c r="G139" s="1" t="s">
        <v>148</v>
      </c>
      <c r="H139" s="1" t="s">
        <v>1560</v>
      </c>
      <c r="J139" s="1" t="s">
        <v>1486</v>
      </c>
      <c r="K139" s="1" t="s">
        <v>94</v>
      </c>
      <c r="L139" s="1" t="s">
        <v>1561</v>
      </c>
      <c r="M139" s="1">
        <v>279</v>
      </c>
    </row>
    <row r="140" spans="2:15" ht="42.75" x14ac:dyDescent="0.2">
      <c r="B140" s="1" t="s">
        <v>747</v>
      </c>
      <c r="C140" s="1">
        <v>7</v>
      </c>
      <c r="D140" s="1" t="s">
        <v>1562</v>
      </c>
      <c r="E140" s="1" t="s">
        <v>1529</v>
      </c>
      <c r="F140" s="1" t="s">
        <v>1563</v>
      </c>
      <c r="G140" s="1" t="s">
        <v>1564</v>
      </c>
      <c r="H140" s="1" t="s">
        <v>1565</v>
      </c>
      <c r="I140" s="1">
        <v>73</v>
      </c>
      <c r="J140" s="1" t="s">
        <v>1529</v>
      </c>
      <c r="K140" s="1">
        <v>0</v>
      </c>
      <c r="L140" s="1" t="s">
        <v>1563</v>
      </c>
      <c r="M140" s="1">
        <v>431</v>
      </c>
    </row>
    <row r="141" spans="2:15" ht="57" x14ac:dyDescent="0.2">
      <c r="B141" s="1" t="s">
        <v>747</v>
      </c>
      <c r="C141" s="1">
        <v>7</v>
      </c>
      <c r="D141" s="1" t="s">
        <v>769</v>
      </c>
      <c r="E141" s="1" t="s">
        <v>1566</v>
      </c>
      <c r="F141" s="1" t="s">
        <v>1567</v>
      </c>
      <c r="G141" s="1" t="s">
        <v>1110</v>
      </c>
      <c r="H141" s="1" t="s">
        <v>1568</v>
      </c>
      <c r="I141" s="1">
        <v>71</v>
      </c>
      <c r="J141" s="1" t="s">
        <v>1566</v>
      </c>
      <c r="K141" s="1" t="s">
        <v>94</v>
      </c>
      <c r="L141" s="1" t="s">
        <v>1569</v>
      </c>
      <c r="M141" s="1">
        <v>264</v>
      </c>
    </row>
    <row r="142" spans="2:15" ht="57" x14ac:dyDescent="0.2">
      <c r="B142" s="1" t="s">
        <v>747</v>
      </c>
      <c r="C142" s="1">
        <v>7</v>
      </c>
      <c r="D142" s="1" t="s">
        <v>773</v>
      </c>
      <c r="E142" s="1" t="s">
        <v>262</v>
      </c>
      <c r="F142" s="1" t="s">
        <v>1570</v>
      </c>
      <c r="G142" s="1" t="s">
        <v>198</v>
      </c>
      <c r="H142" s="1" t="s">
        <v>1571</v>
      </c>
      <c r="I142" s="1">
        <v>72</v>
      </c>
      <c r="J142" s="1" t="s">
        <v>1572</v>
      </c>
      <c r="K142" s="1" t="s">
        <v>94</v>
      </c>
      <c r="L142" s="1" t="s">
        <v>1573</v>
      </c>
    </row>
    <row r="143" spans="2:15" ht="57" x14ac:dyDescent="0.2">
      <c r="B143" s="1" t="s">
        <v>747</v>
      </c>
      <c r="C143" s="1">
        <v>9</v>
      </c>
      <c r="D143" s="1" t="s">
        <v>1574</v>
      </c>
      <c r="E143" s="1" t="s">
        <v>1575</v>
      </c>
      <c r="F143" s="1" t="s">
        <v>1576</v>
      </c>
      <c r="G143" s="1" t="s">
        <v>1577</v>
      </c>
      <c r="H143" s="1" t="s">
        <v>1578</v>
      </c>
      <c r="J143" s="1" t="s">
        <v>1579</v>
      </c>
      <c r="K143" s="1" t="s">
        <v>94</v>
      </c>
      <c r="L143" s="1" t="s">
        <v>1580</v>
      </c>
      <c r="M143" s="1">
        <v>505</v>
      </c>
      <c r="N143" s="1" t="s">
        <v>1581</v>
      </c>
      <c r="O143" s="1" t="s">
        <v>1582</v>
      </c>
    </row>
    <row r="144" spans="2:15" ht="57" x14ac:dyDescent="0.2">
      <c r="B144" s="1" t="s">
        <v>747</v>
      </c>
      <c r="C144" s="1">
        <v>9</v>
      </c>
      <c r="D144" s="1" t="s">
        <v>798</v>
      </c>
      <c r="E144" s="1" t="s">
        <v>1583</v>
      </c>
      <c r="F144" s="1" t="s">
        <v>1584</v>
      </c>
      <c r="G144" s="1" t="s">
        <v>1406</v>
      </c>
      <c r="H144" s="1" t="s">
        <v>1585</v>
      </c>
      <c r="I144" s="1">
        <v>87</v>
      </c>
      <c r="J144" s="1" t="s">
        <v>1583</v>
      </c>
      <c r="K144" s="1" t="s">
        <v>94</v>
      </c>
      <c r="L144" s="1" t="s">
        <v>1584</v>
      </c>
      <c r="M144" s="1">
        <v>527</v>
      </c>
    </row>
    <row r="145" spans="1:13" ht="57" x14ac:dyDescent="0.2">
      <c r="B145" s="1" t="s">
        <v>747</v>
      </c>
      <c r="C145" s="1">
        <v>9</v>
      </c>
      <c r="D145" s="1" t="s">
        <v>1586</v>
      </c>
      <c r="E145" s="1" t="s">
        <v>1304</v>
      </c>
      <c r="F145" s="1" t="s">
        <v>1587</v>
      </c>
      <c r="G145" s="1" t="s">
        <v>1539</v>
      </c>
      <c r="H145" s="1" t="s">
        <v>1588</v>
      </c>
      <c r="I145" s="1">
        <v>100</v>
      </c>
      <c r="J145" s="1" t="s">
        <v>1304</v>
      </c>
      <c r="K145" s="1" t="s">
        <v>94</v>
      </c>
      <c r="L145" s="1" t="s">
        <v>1587</v>
      </c>
      <c r="M145" s="1">
        <v>419</v>
      </c>
    </row>
    <row r="146" spans="1:13" ht="42.75" x14ac:dyDescent="0.2">
      <c r="B146" s="1" t="s">
        <v>747</v>
      </c>
      <c r="C146" s="1">
        <v>9</v>
      </c>
      <c r="D146" s="1" t="s">
        <v>784</v>
      </c>
      <c r="E146" s="1" t="s">
        <v>1589</v>
      </c>
      <c r="F146" s="1" t="s">
        <v>1590</v>
      </c>
      <c r="G146" s="1" t="s">
        <v>1591</v>
      </c>
      <c r="H146" s="1" t="s">
        <v>1592</v>
      </c>
      <c r="I146" s="1">
        <v>82</v>
      </c>
      <c r="J146" s="1" t="s">
        <v>1591</v>
      </c>
      <c r="K146" s="1" t="s">
        <v>94</v>
      </c>
      <c r="L146" s="1" t="s">
        <v>1592</v>
      </c>
      <c r="M146" s="1">
        <v>352</v>
      </c>
    </row>
    <row r="147" spans="1:13" ht="42.75" x14ac:dyDescent="0.2">
      <c r="B147" s="1" t="s">
        <v>747</v>
      </c>
      <c r="C147" s="1">
        <v>9</v>
      </c>
      <c r="D147" s="1" t="s">
        <v>789</v>
      </c>
      <c r="E147" s="1" t="s">
        <v>1593</v>
      </c>
      <c r="F147" s="1" t="s">
        <v>1594</v>
      </c>
      <c r="G147" s="1" t="s">
        <v>1595</v>
      </c>
      <c r="H147" s="1" t="s">
        <v>1596</v>
      </c>
      <c r="I147" s="1">
        <v>82</v>
      </c>
      <c r="J147" s="1" t="s">
        <v>1595</v>
      </c>
      <c r="K147" s="1" t="s">
        <v>94</v>
      </c>
      <c r="L147" s="1" t="s">
        <v>1596</v>
      </c>
      <c r="M147" s="1">
        <v>497</v>
      </c>
    </row>
    <row r="148" spans="1:13" ht="42.75" x14ac:dyDescent="0.2">
      <c r="B148" s="1" t="s">
        <v>747</v>
      </c>
      <c r="C148" s="1">
        <v>9</v>
      </c>
      <c r="D148" s="1" t="s">
        <v>793</v>
      </c>
      <c r="E148" s="1" t="s">
        <v>1597</v>
      </c>
      <c r="F148" s="1" t="s">
        <v>1598</v>
      </c>
      <c r="G148" s="1" t="s">
        <v>174</v>
      </c>
      <c r="H148" s="1" t="s">
        <v>1599</v>
      </c>
      <c r="I148" s="1">
        <v>75</v>
      </c>
      <c r="J148" s="1" t="s">
        <v>1597</v>
      </c>
      <c r="K148" s="1" t="s">
        <v>94</v>
      </c>
      <c r="L148" s="1" t="s">
        <v>1598</v>
      </c>
    </row>
    <row r="149" spans="1:13" ht="57" x14ac:dyDescent="0.2">
      <c r="A149" s="1">
        <v>1</v>
      </c>
      <c r="B149" s="1" t="s">
        <v>747</v>
      </c>
      <c r="C149" s="1">
        <v>9</v>
      </c>
      <c r="D149" s="1" t="s">
        <v>803</v>
      </c>
      <c r="E149" s="1" t="s">
        <v>1600</v>
      </c>
      <c r="F149" s="1" t="s">
        <v>1601</v>
      </c>
      <c r="G149" s="1" t="s">
        <v>477</v>
      </c>
      <c r="H149" s="1" t="s">
        <v>1602</v>
      </c>
      <c r="I149" s="1">
        <v>88</v>
      </c>
      <c r="J149" s="1" t="s">
        <v>1603</v>
      </c>
      <c r="K149" s="1" t="s">
        <v>94</v>
      </c>
      <c r="L149" s="1" t="s">
        <v>1604</v>
      </c>
    </row>
    <row r="150" spans="1:13" ht="28.5" x14ac:dyDescent="0.2">
      <c r="B150" s="1" t="s">
        <v>809</v>
      </c>
      <c r="C150" s="1">
        <v>6</v>
      </c>
      <c r="D150" s="1" t="s">
        <v>810</v>
      </c>
      <c r="E150" s="1" t="s">
        <v>1605</v>
      </c>
      <c r="F150" s="1" t="s">
        <v>1606</v>
      </c>
      <c r="G150" s="1" t="s">
        <v>259</v>
      </c>
      <c r="H150" s="1" t="s">
        <v>1607</v>
      </c>
      <c r="J150" s="1" t="s">
        <v>1605</v>
      </c>
      <c r="K150" s="1" t="s">
        <v>88</v>
      </c>
      <c r="L150" s="1" t="s">
        <v>1606</v>
      </c>
      <c r="M150" s="1">
        <v>257</v>
      </c>
    </row>
    <row r="151" spans="1:13" ht="42.75" x14ac:dyDescent="0.2">
      <c r="B151" s="1" t="s">
        <v>809</v>
      </c>
      <c r="C151" s="1">
        <v>6</v>
      </c>
      <c r="D151" s="1" t="s">
        <v>817</v>
      </c>
      <c r="E151" s="1" t="s">
        <v>1020</v>
      </c>
      <c r="F151" s="1" t="s">
        <v>1608</v>
      </c>
      <c r="G151" s="1" t="s">
        <v>1264</v>
      </c>
      <c r="H151" s="1" t="s">
        <v>1609</v>
      </c>
      <c r="I151" s="1">
        <v>65</v>
      </c>
      <c r="J151" s="1" t="s">
        <v>1020</v>
      </c>
      <c r="K151" s="1" t="s">
        <v>94</v>
      </c>
      <c r="L151" s="1" t="s">
        <v>1608</v>
      </c>
      <c r="M151" s="1">
        <v>280</v>
      </c>
    </row>
    <row r="152" spans="1:13" ht="42.75" x14ac:dyDescent="0.2">
      <c r="B152" s="1" t="s">
        <v>809</v>
      </c>
      <c r="C152" s="1">
        <v>6</v>
      </c>
      <c r="D152" s="1" t="s">
        <v>821</v>
      </c>
      <c r="E152" s="1" t="s">
        <v>1157</v>
      </c>
      <c r="F152" s="1" t="s">
        <v>1610</v>
      </c>
      <c r="G152" s="1" t="s">
        <v>86</v>
      </c>
      <c r="H152" s="1" t="s">
        <v>1611</v>
      </c>
      <c r="I152" s="1">
        <v>72</v>
      </c>
      <c r="J152" s="1" t="s">
        <v>86</v>
      </c>
      <c r="K152" s="1" t="s">
        <v>94</v>
      </c>
      <c r="L152" s="1" t="s">
        <v>1611</v>
      </c>
      <c r="M152" s="1">
        <v>236</v>
      </c>
    </row>
    <row r="153" spans="1:13" ht="42.75" x14ac:dyDescent="0.2">
      <c r="B153" s="1" t="s">
        <v>809</v>
      </c>
      <c r="C153" s="1">
        <v>6</v>
      </c>
      <c r="D153" s="1" t="s">
        <v>1612</v>
      </c>
      <c r="E153" s="1" t="s">
        <v>1182</v>
      </c>
      <c r="F153" s="1" t="s">
        <v>1613</v>
      </c>
      <c r="G153" s="1" t="s">
        <v>1614</v>
      </c>
      <c r="H153" s="1" t="s">
        <v>1615</v>
      </c>
      <c r="I153" s="1">
        <v>65</v>
      </c>
      <c r="J153" s="1" t="s">
        <v>1614</v>
      </c>
      <c r="K153" s="1" t="s">
        <v>88</v>
      </c>
      <c r="L153" s="1" t="s">
        <v>1615</v>
      </c>
      <c r="M153" s="1">
        <v>277</v>
      </c>
    </row>
    <row r="154" spans="1:13" ht="57" x14ac:dyDescent="0.2">
      <c r="B154" s="1" t="s">
        <v>809</v>
      </c>
      <c r="C154" s="1">
        <v>7</v>
      </c>
      <c r="D154" s="1" t="s">
        <v>825</v>
      </c>
      <c r="E154" s="1" t="s">
        <v>1616</v>
      </c>
      <c r="F154" s="1" t="s">
        <v>1617</v>
      </c>
      <c r="G154" s="1" t="s">
        <v>1618</v>
      </c>
      <c r="H154" s="1" t="s">
        <v>1619</v>
      </c>
      <c r="I154" s="1">
        <v>64</v>
      </c>
      <c r="J154" s="1" t="s">
        <v>1616</v>
      </c>
      <c r="K154" s="1">
        <v>0</v>
      </c>
      <c r="L154" s="1" t="s">
        <v>1617</v>
      </c>
      <c r="M154" s="1">
        <v>368</v>
      </c>
    </row>
    <row r="155" spans="1:13" ht="57" x14ac:dyDescent="0.2">
      <c r="B155" s="1" t="s">
        <v>809</v>
      </c>
      <c r="C155" s="1">
        <v>8</v>
      </c>
      <c r="D155" s="1" t="s">
        <v>830</v>
      </c>
      <c r="E155" s="1" t="s">
        <v>504</v>
      </c>
      <c r="F155" s="1" t="s">
        <v>1620</v>
      </c>
      <c r="G155" s="1" t="s">
        <v>1621</v>
      </c>
      <c r="H155" s="1" t="s">
        <v>1622</v>
      </c>
      <c r="I155" s="1">
        <v>73</v>
      </c>
      <c r="J155" s="1" t="s">
        <v>1621</v>
      </c>
      <c r="K155" s="1" t="s">
        <v>94</v>
      </c>
      <c r="L155" s="1" t="s">
        <v>1623</v>
      </c>
      <c r="M155" s="1">
        <v>625</v>
      </c>
    </row>
    <row r="156" spans="1:13" ht="28.5" x14ac:dyDescent="0.2">
      <c r="B156" s="1" t="s">
        <v>809</v>
      </c>
      <c r="C156" s="1">
        <v>9</v>
      </c>
      <c r="D156" s="1" t="s">
        <v>835</v>
      </c>
      <c r="E156" s="1" t="s">
        <v>1624</v>
      </c>
      <c r="F156" s="1" t="s">
        <v>1625</v>
      </c>
      <c r="G156" s="1" t="s">
        <v>1626</v>
      </c>
      <c r="H156" s="1" t="s">
        <v>1627</v>
      </c>
      <c r="I156" s="1">
        <v>83</v>
      </c>
      <c r="J156" s="1" t="s">
        <v>1624</v>
      </c>
      <c r="K156" s="1" t="s">
        <v>94</v>
      </c>
      <c r="L156" s="1" t="s">
        <v>1625</v>
      </c>
      <c r="M156" s="1">
        <v>635</v>
      </c>
    </row>
    <row r="157" spans="1:13" ht="57" x14ac:dyDescent="0.2">
      <c r="B157" s="1" t="s">
        <v>809</v>
      </c>
      <c r="C157" s="1">
        <v>9</v>
      </c>
      <c r="D157" s="1" t="s">
        <v>847</v>
      </c>
      <c r="E157" s="1" t="s">
        <v>1628</v>
      </c>
      <c r="F157" s="1" t="s">
        <v>1629</v>
      </c>
      <c r="G157" s="1" t="s">
        <v>1630</v>
      </c>
      <c r="H157" s="1" t="s">
        <v>1631</v>
      </c>
      <c r="I157" s="1">
        <v>118</v>
      </c>
      <c r="J157" s="1" t="s">
        <v>1630</v>
      </c>
      <c r="K157" s="1" t="s">
        <v>94</v>
      </c>
      <c r="L157" s="1" t="s">
        <v>1631</v>
      </c>
    </row>
    <row r="158" spans="1:13" ht="57" x14ac:dyDescent="0.2">
      <c r="A158" s="1">
        <v>1</v>
      </c>
      <c r="B158" s="1" t="s">
        <v>809</v>
      </c>
      <c r="C158" s="1">
        <v>10</v>
      </c>
      <c r="D158" s="1" t="s">
        <v>841</v>
      </c>
      <c r="E158" s="1" t="s">
        <v>1150</v>
      </c>
      <c r="F158" s="1" t="s">
        <v>1632</v>
      </c>
      <c r="G158" s="1" t="s">
        <v>1633</v>
      </c>
      <c r="H158" s="1" t="s">
        <v>1634</v>
      </c>
      <c r="I158" s="1">
        <v>82</v>
      </c>
      <c r="J158" s="1" t="s">
        <v>1633</v>
      </c>
      <c r="K158" s="1" t="s">
        <v>94</v>
      </c>
      <c r="L158" s="1" t="s">
        <v>1634</v>
      </c>
    </row>
    <row r="159" spans="1:13" ht="57" x14ac:dyDescent="0.2">
      <c r="B159" s="1" t="s">
        <v>1635</v>
      </c>
      <c r="C159" s="1">
        <v>10</v>
      </c>
      <c r="D159" s="1" t="s">
        <v>1636</v>
      </c>
      <c r="E159" s="1" t="s">
        <v>1637</v>
      </c>
      <c r="F159" s="1" t="s">
        <v>1638</v>
      </c>
      <c r="G159" s="1" t="s">
        <v>1639</v>
      </c>
      <c r="H159" s="1" t="s">
        <v>1640</v>
      </c>
      <c r="I159" s="1">
        <v>82</v>
      </c>
      <c r="J159" s="1" t="s">
        <v>1637</v>
      </c>
      <c r="K159" s="1" t="s">
        <v>94</v>
      </c>
      <c r="L159" s="1" t="s">
        <v>1638</v>
      </c>
    </row>
    <row r="160" spans="1:13" ht="42.75" x14ac:dyDescent="0.2">
      <c r="B160" s="1" t="s">
        <v>852</v>
      </c>
      <c r="C160" s="1">
        <v>6</v>
      </c>
      <c r="D160" s="1" t="s">
        <v>882</v>
      </c>
      <c r="E160" s="1" t="s">
        <v>1114</v>
      </c>
      <c r="F160" s="1" t="s">
        <v>1641</v>
      </c>
      <c r="G160" s="1" t="s">
        <v>1642</v>
      </c>
      <c r="H160" s="1" t="s">
        <v>1643</v>
      </c>
      <c r="I160" s="1">
        <v>71</v>
      </c>
      <c r="J160" s="1" t="s">
        <v>1642</v>
      </c>
      <c r="K160" s="1" t="s">
        <v>219</v>
      </c>
      <c r="L160" s="1" t="s">
        <v>1643</v>
      </c>
      <c r="M160" s="1">
        <v>200</v>
      </c>
    </row>
    <row r="161" spans="1:13" ht="42.75" x14ac:dyDescent="0.2">
      <c r="B161" s="1" t="s">
        <v>852</v>
      </c>
      <c r="C161" s="1">
        <v>6</v>
      </c>
      <c r="D161" s="1" t="s">
        <v>1644</v>
      </c>
      <c r="E161" s="1" t="s">
        <v>393</v>
      </c>
      <c r="F161" s="1" t="s">
        <v>1645</v>
      </c>
      <c r="G161" s="1" t="s">
        <v>1089</v>
      </c>
      <c r="H161" s="1" t="s">
        <v>1646</v>
      </c>
      <c r="I161" s="1">
        <v>68</v>
      </c>
      <c r="J161" s="1" t="s">
        <v>1089</v>
      </c>
      <c r="K161" s="1" t="s">
        <v>88</v>
      </c>
      <c r="L161" s="1" t="s">
        <v>1646</v>
      </c>
      <c r="M161" s="1">
        <v>223</v>
      </c>
    </row>
    <row r="162" spans="1:13" ht="42.75" x14ac:dyDescent="0.2">
      <c r="B162" s="1" t="s">
        <v>852</v>
      </c>
      <c r="C162" s="1">
        <v>6</v>
      </c>
      <c r="D162" s="1" t="s">
        <v>886</v>
      </c>
      <c r="E162" s="1" t="s">
        <v>887</v>
      </c>
      <c r="F162" s="1" t="s">
        <v>1647</v>
      </c>
      <c r="G162" s="1" t="s">
        <v>1648</v>
      </c>
      <c r="H162" s="1" t="s">
        <v>1649</v>
      </c>
      <c r="I162" s="1">
        <v>74</v>
      </c>
      <c r="J162" s="1" t="s">
        <v>887</v>
      </c>
      <c r="K162" s="1" t="s">
        <v>94</v>
      </c>
      <c r="L162" s="1" t="s">
        <v>1647</v>
      </c>
      <c r="M162" s="1">
        <v>365</v>
      </c>
    </row>
    <row r="163" spans="1:13" ht="57" x14ac:dyDescent="0.2">
      <c r="B163" s="1" t="s">
        <v>852</v>
      </c>
      <c r="C163" s="1">
        <v>6</v>
      </c>
      <c r="D163" s="1" t="s">
        <v>877</v>
      </c>
      <c r="E163" s="1" t="s">
        <v>1243</v>
      </c>
      <c r="F163" s="1" t="s">
        <v>1650</v>
      </c>
      <c r="G163" s="1" t="s">
        <v>762</v>
      </c>
      <c r="H163" s="1" t="s">
        <v>1651</v>
      </c>
      <c r="I163" s="1">
        <v>76</v>
      </c>
      <c r="J163" s="1" t="s">
        <v>762</v>
      </c>
      <c r="K163" s="1" t="s">
        <v>88</v>
      </c>
      <c r="L163" s="1" t="s">
        <v>1651</v>
      </c>
      <c r="M163" s="1">
        <v>215</v>
      </c>
    </row>
    <row r="164" spans="1:13" ht="57" x14ac:dyDescent="0.2">
      <c r="B164" s="1" t="s">
        <v>852</v>
      </c>
      <c r="C164" s="1">
        <v>6</v>
      </c>
      <c r="D164" s="1" t="s">
        <v>872</v>
      </c>
      <c r="E164" s="1" t="s">
        <v>1652</v>
      </c>
      <c r="F164" s="1" t="s">
        <v>1653</v>
      </c>
      <c r="G164" s="1" t="s">
        <v>1654</v>
      </c>
      <c r="H164" s="1" t="s">
        <v>1655</v>
      </c>
      <c r="I164" s="1">
        <v>69</v>
      </c>
      <c r="J164" s="1" t="s">
        <v>1654</v>
      </c>
      <c r="K164" s="1" t="s">
        <v>88</v>
      </c>
      <c r="L164" s="1" t="s">
        <v>1656</v>
      </c>
      <c r="M164" s="1">
        <v>234</v>
      </c>
    </row>
    <row r="165" spans="1:13" ht="42.75" x14ac:dyDescent="0.2">
      <c r="A165" s="1">
        <v>1</v>
      </c>
      <c r="B165" s="1" t="s">
        <v>852</v>
      </c>
      <c r="C165" s="1">
        <v>6</v>
      </c>
      <c r="D165" s="1" t="s">
        <v>862</v>
      </c>
      <c r="E165" s="1" t="s">
        <v>1566</v>
      </c>
      <c r="F165" s="1" t="s">
        <v>1657</v>
      </c>
      <c r="G165" s="1" t="s">
        <v>1329</v>
      </c>
      <c r="H165" s="1" t="s">
        <v>1658</v>
      </c>
      <c r="I165" s="1">
        <v>65</v>
      </c>
      <c r="J165" s="1" t="s">
        <v>1566</v>
      </c>
      <c r="K165" s="1">
        <v>0</v>
      </c>
      <c r="L165" s="1" t="s">
        <v>1657</v>
      </c>
    </row>
    <row r="166" spans="1:13" ht="57" x14ac:dyDescent="0.2">
      <c r="B166" s="1" t="s">
        <v>852</v>
      </c>
      <c r="C166" s="1">
        <v>6</v>
      </c>
      <c r="D166" s="1" t="s">
        <v>1659</v>
      </c>
      <c r="E166" s="1" t="s">
        <v>1660</v>
      </c>
      <c r="F166" s="1" t="s">
        <v>1661</v>
      </c>
      <c r="G166" s="1" t="s">
        <v>1662</v>
      </c>
      <c r="H166" s="1" t="s">
        <v>1663</v>
      </c>
      <c r="I166" s="1">
        <v>74</v>
      </c>
      <c r="J166" s="1" t="s">
        <v>1662</v>
      </c>
      <c r="K166" s="1" t="s">
        <v>88</v>
      </c>
      <c r="L166" s="1" t="s">
        <v>1663</v>
      </c>
      <c r="M166" s="1">
        <v>193</v>
      </c>
    </row>
    <row r="167" spans="1:13" ht="42.75" x14ac:dyDescent="0.2">
      <c r="A167" s="1">
        <v>1</v>
      </c>
      <c r="B167" s="1" t="s">
        <v>852</v>
      </c>
      <c r="C167" s="1">
        <v>6</v>
      </c>
      <c r="D167" s="1" t="s">
        <v>853</v>
      </c>
      <c r="E167" s="1" t="s">
        <v>1664</v>
      </c>
      <c r="F167" s="1" t="s">
        <v>1665</v>
      </c>
      <c r="G167" s="1" t="s">
        <v>689</v>
      </c>
      <c r="H167" s="1" t="s">
        <v>1666</v>
      </c>
      <c r="I167" s="1">
        <v>57</v>
      </c>
      <c r="J167" s="1" t="s">
        <v>1664</v>
      </c>
      <c r="K167" s="1">
        <v>0</v>
      </c>
      <c r="L167" s="1" t="s">
        <v>1665</v>
      </c>
    </row>
    <row r="168" spans="1:13" ht="42.75" x14ac:dyDescent="0.2">
      <c r="A168" s="1">
        <v>1</v>
      </c>
      <c r="B168" s="1" t="s">
        <v>852</v>
      </c>
      <c r="C168" s="1">
        <v>6</v>
      </c>
      <c r="D168" s="1" t="s">
        <v>858</v>
      </c>
      <c r="E168" s="1" t="s">
        <v>1308</v>
      </c>
      <c r="F168" s="1" t="s">
        <v>1667</v>
      </c>
      <c r="G168" s="1" t="s">
        <v>592</v>
      </c>
      <c r="H168" s="1" t="s">
        <v>1668</v>
      </c>
      <c r="I168" s="1">
        <v>63</v>
      </c>
      <c r="J168" s="1" t="s">
        <v>1308</v>
      </c>
      <c r="K168" s="1" t="s">
        <v>219</v>
      </c>
      <c r="L168" s="1" t="s">
        <v>1667</v>
      </c>
    </row>
    <row r="169" spans="1:13" ht="42.75" x14ac:dyDescent="0.2">
      <c r="B169" s="1" t="s">
        <v>852</v>
      </c>
      <c r="C169" s="1">
        <v>7</v>
      </c>
      <c r="D169" s="1" t="s">
        <v>1669</v>
      </c>
      <c r="E169" s="1" t="s">
        <v>1670</v>
      </c>
      <c r="F169" s="1" t="s">
        <v>1671</v>
      </c>
      <c r="G169" s="1" t="s">
        <v>1672</v>
      </c>
      <c r="H169" s="1" t="s">
        <v>1673</v>
      </c>
      <c r="I169" s="1">
        <v>83</v>
      </c>
      <c r="J169" s="1" t="s">
        <v>1672</v>
      </c>
      <c r="K169" s="1" t="s">
        <v>94</v>
      </c>
      <c r="L169" s="1" t="s">
        <v>1673</v>
      </c>
      <c r="M169" s="1">
        <v>340</v>
      </c>
    </row>
    <row r="170" spans="1:13" ht="57" x14ac:dyDescent="0.2">
      <c r="B170" s="1" t="s">
        <v>852</v>
      </c>
      <c r="C170" s="1">
        <v>7</v>
      </c>
      <c r="D170" s="1" t="s">
        <v>891</v>
      </c>
      <c r="E170" s="1" t="s">
        <v>1674</v>
      </c>
      <c r="F170" s="1" t="s">
        <v>1675</v>
      </c>
      <c r="G170" s="1" t="s">
        <v>1676</v>
      </c>
      <c r="H170" s="1" t="s">
        <v>1677</v>
      </c>
      <c r="I170" s="1">
        <v>74</v>
      </c>
      <c r="J170" s="1" t="s">
        <v>1674</v>
      </c>
      <c r="K170" s="1" t="s">
        <v>94</v>
      </c>
      <c r="L170" s="1" t="s">
        <v>1675</v>
      </c>
    </row>
    <row r="171" spans="1:13" ht="57" x14ac:dyDescent="0.2">
      <c r="B171" s="1" t="s">
        <v>852</v>
      </c>
      <c r="C171" s="1">
        <v>8</v>
      </c>
      <c r="D171" s="1" t="s">
        <v>895</v>
      </c>
      <c r="E171" s="1" t="s">
        <v>1678</v>
      </c>
      <c r="F171" s="1" t="s">
        <v>1679</v>
      </c>
      <c r="G171" s="1" t="s">
        <v>1058</v>
      </c>
      <c r="H171" s="1" t="s">
        <v>1680</v>
      </c>
      <c r="I171" s="1">
        <v>76</v>
      </c>
      <c r="J171" s="1" t="s">
        <v>1678</v>
      </c>
      <c r="K171" s="1" t="s">
        <v>94</v>
      </c>
      <c r="L171" s="1" t="s">
        <v>1679</v>
      </c>
      <c r="M171" s="1">
        <v>539</v>
      </c>
    </row>
    <row r="172" spans="1:13" ht="57" x14ac:dyDescent="0.2">
      <c r="B172" s="1" t="s">
        <v>852</v>
      </c>
      <c r="C172" s="1">
        <v>8</v>
      </c>
      <c r="D172" s="1" t="s">
        <v>900</v>
      </c>
      <c r="E172" s="1" t="s">
        <v>631</v>
      </c>
      <c r="F172" s="1" t="s">
        <v>1681</v>
      </c>
      <c r="G172" s="1" t="s">
        <v>1682</v>
      </c>
      <c r="H172" s="1" t="s">
        <v>1683</v>
      </c>
      <c r="I172" s="1">
        <v>70</v>
      </c>
      <c r="J172" s="1" t="s">
        <v>631</v>
      </c>
      <c r="K172" s="1" t="s">
        <v>94</v>
      </c>
      <c r="L172" s="1" t="s">
        <v>1681</v>
      </c>
      <c r="M172" s="1">
        <v>353</v>
      </c>
    </row>
    <row r="173" spans="1:13" ht="28.5" x14ac:dyDescent="0.2">
      <c r="B173" s="1" t="s">
        <v>852</v>
      </c>
      <c r="C173" s="1">
        <v>8</v>
      </c>
      <c r="D173" s="1" t="s">
        <v>909</v>
      </c>
      <c r="E173" s="1" t="s">
        <v>1684</v>
      </c>
      <c r="F173" s="1" t="s">
        <v>1685</v>
      </c>
      <c r="G173" s="1" t="s">
        <v>92</v>
      </c>
      <c r="H173" s="1" t="s">
        <v>1686</v>
      </c>
      <c r="I173" s="1">
        <v>83</v>
      </c>
      <c r="J173" s="1" t="s">
        <v>1684</v>
      </c>
      <c r="K173" s="1" t="s">
        <v>94</v>
      </c>
      <c r="L173" s="1" t="s">
        <v>1685</v>
      </c>
      <c r="M173" s="1">
        <v>571</v>
      </c>
    </row>
    <row r="174" spans="1:13" ht="42.75" x14ac:dyDescent="0.2">
      <c r="B174" s="1" t="s">
        <v>852</v>
      </c>
      <c r="C174" s="1">
        <v>9</v>
      </c>
      <c r="D174" s="1" t="s">
        <v>904</v>
      </c>
      <c r="E174" s="1" t="s">
        <v>838</v>
      </c>
      <c r="F174" s="1" t="s">
        <v>1687</v>
      </c>
      <c r="G174" s="1" t="s">
        <v>1688</v>
      </c>
      <c r="H174" s="1" t="s">
        <v>1689</v>
      </c>
      <c r="J174" s="1" t="s">
        <v>1688</v>
      </c>
      <c r="K174" s="1" t="s">
        <v>94</v>
      </c>
      <c r="L174" s="1" t="s">
        <v>1690</v>
      </c>
      <c r="M174" s="1">
        <v>399</v>
      </c>
    </row>
    <row r="175" spans="1:13" ht="57" x14ac:dyDescent="0.2">
      <c r="B175" s="1" t="s">
        <v>852</v>
      </c>
      <c r="C175" s="1">
        <v>9</v>
      </c>
      <c r="D175" s="1" t="s">
        <v>926</v>
      </c>
      <c r="E175" s="1" t="s">
        <v>1691</v>
      </c>
      <c r="F175" s="1" t="s">
        <v>1692</v>
      </c>
      <c r="G175" s="1" t="s">
        <v>1693</v>
      </c>
      <c r="H175" s="1" t="s">
        <v>1694</v>
      </c>
      <c r="I175" s="1">
        <v>96</v>
      </c>
      <c r="J175" s="1" t="s">
        <v>1693</v>
      </c>
      <c r="K175" s="1" t="s">
        <v>94</v>
      </c>
      <c r="L175" s="1" t="s">
        <v>1694</v>
      </c>
      <c r="M175" s="1">
        <v>242</v>
      </c>
    </row>
    <row r="176" spans="1:13" ht="42.75" x14ac:dyDescent="0.2">
      <c r="B176" s="1" t="s">
        <v>852</v>
      </c>
      <c r="C176" s="1">
        <v>9</v>
      </c>
      <c r="D176" s="1" t="s">
        <v>1695</v>
      </c>
      <c r="E176" s="1" t="s">
        <v>184</v>
      </c>
      <c r="F176" s="1" t="s">
        <v>1696</v>
      </c>
      <c r="G176" s="1" t="s">
        <v>1697</v>
      </c>
      <c r="H176" s="1" t="s">
        <v>1698</v>
      </c>
      <c r="I176" s="1">
        <v>74</v>
      </c>
      <c r="J176" s="1" t="s">
        <v>1699</v>
      </c>
      <c r="K176" s="1" t="s">
        <v>94</v>
      </c>
      <c r="L176" s="1" t="s">
        <v>1700</v>
      </c>
      <c r="M176" s="1">
        <v>527</v>
      </c>
    </row>
    <row r="177" spans="1:13" ht="57" x14ac:dyDescent="0.2">
      <c r="B177" s="1" t="s">
        <v>852</v>
      </c>
      <c r="C177" s="1">
        <v>9</v>
      </c>
      <c r="D177" s="1" t="s">
        <v>914</v>
      </c>
      <c r="E177" s="1" t="s">
        <v>1084</v>
      </c>
      <c r="F177" s="1" t="s">
        <v>1701</v>
      </c>
      <c r="G177" s="1" t="s">
        <v>1702</v>
      </c>
      <c r="H177" s="1" t="s">
        <v>1703</v>
      </c>
      <c r="I177" s="1">
        <v>86</v>
      </c>
      <c r="J177" s="1" t="s">
        <v>235</v>
      </c>
      <c r="K177" s="1" t="s">
        <v>94</v>
      </c>
      <c r="L177" s="1" t="s">
        <v>1704</v>
      </c>
      <c r="M177" s="1">
        <v>456</v>
      </c>
    </row>
    <row r="178" spans="1:13" ht="42.75" x14ac:dyDescent="0.2">
      <c r="B178" s="1" t="s">
        <v>852</v>
      </c>
      <c r="C178" s="1">
        <v>9</v>
      </c>
      <c r="D178" s="1" t="s">
        <v>919</v>
      </c>
      <c r="E178" s="1" t="s">
        <v>868</v>
      </c>
      <c r="F178" s="1" t="s">
        <v>1705</v>
      </c>
      <c r="G178" s="1" t="s">
        <v>1706</v>
      </c>
      <c r="H178" s="1" t="s">
        <v>1707</v>
      </c>
      <c r="I178" s="1">
        <v>91</v>
      </c>
      <c r="J178" s="1" t="s">
        <v>868</v>
      </c>
      <c r="K178" s="1" t="s">
        <v>94</v>
      </c>
      <c r="L178" s="1" t="s">
        <v>1705</v>
      </c>
      <c r="M178" s="1">
        <v>534</v>
      </c>
    </row>
    <row r="179" spans="1:13" ht="57" x14ac:dyDescent="0.2">
      <c r="B179" s="1" t="s">
        <v>931</v>
      </c>
      <c r="C179" s="1">
        <v>6</v>
      </c>
      <c r="D179" s="1" t="s">
        <v>950</v>
      </c>
      <c r="E179" s="1" t="s">
        <v>1708</v>
      </c>
      <c r="F179" s="1" t="s">
        <v>1709</v>
      </c>
      <c r="G179" s="1" t="s">
        <v>560</v>
      </c>
      <c r="H179" s="1" t="s">
        <v>1710</v>
      </c>
      <c r="I179" s="1">
        <v>72</v>
      </c>
      <c r="J179" s="1" t="s">
        <v>560</v>
      </c>
      <c r="K179" s="1" t="s">
        <v>94</v>
      </c>
      <c r="L179" s="1" t="s">
        <v>1710</v>
      </c>
      <c r="M179" s="1">
        <v>307</v>
      </c>
    </row>
    <row r="180" spans="1:13" ht="57" x14ac:dyDescent="0.2">
      <c r="B180" s="1" t="s">
        <v>931</v>
      </c>
      <c r="C180" s="1">
        <v>6</v>
      </c>
      <c r="D180" s="1" t="s">
        <v>932</v>
      </c>
      <c r="E180" s="1" t="s">
        <v>230</v>
      </c>
      <c r="F180" s="1" t="s">
        <v>1711</v>
      </c>
      <c r="G180" s="1" t="s">
        <v>828</v>
      </c>
      <c r="H180" s="1" t="s">
        <v>1712</v>
      </c>
      <c r="I180" s="1">
        <v>70</v>
      </c>
      <c r="J180" s="1" t="s">
        <v>1637</v>
      </c>
      <c r="K180" s="1" t="s">
        <v>88</v>
      </c>
      <c r="L180" s="1" t="s">
        <v>1713</v>
      </c>
      <c r="M180" s="1">
        <v>259</v>
      </c>
    </row>
    <row r="181" spans="1:13" ht="42.75" x14ac:dyDescent="0.2">
      <c r="B181" s="1" t="s">
        <v>931</v>
      </c>
      <c r="C181" s="1">
        <v>6</v>
      </c>
      <c r="D181" s="1" t="s">
        <v>937</v>
      </c>
      <c r="E181" s="1" t="s">
        <v>1714</v>
      </c>
      <c r="F181" s="1" t="s">
        <v>1715</v>
      </c>
      <c r="G181" s="1" t="s">
        <v>1716</v>
      </c>
      <c r="H181" s="1" t="s">
        <v>1717</v>
      </c>
      <c r="I181" s="1">
        <v>66</v>
      </c>
      <c r="J181" s="1" t="s">
        <v>1714</v>
      </c>
      <c r="K181" s="1" t="s">
        <v>94</v>
      </c>
      <c r="L181" s="1" t="s">
        <v>1715</v>
      </c>
      <c r="M181" s="1">
        <v>218</v>
      </c>
    </row>
    <row r="182" spans="1:13" ht="57" x14ac:dyDescent="0.2">
      <c r="B182" s="1" t="s">
        <v>931</v>
      </c>
      <c r="C182" s="1">
        <v>6</v>
      </c>
      <c r="D182" s="1" t="s">
        <v>941</v>
      </c>
      <c r="E182" s="1" t="s">
        <v>1718</v>
      </c>
      <c r="F182" s="1" t="s">
        <v>1719</v>
      </c>
      <c r="G182" s="1" t="s">
        <v>427</v>
      </c>
      <c r="H182" s="1" t="s">
        <v>1720</v>
      </c>
      <c r="I182" s="1">
        <v>70</v>
      </c>
      <c r="J182" s="1" t="s">
        <v>427</v>
      </c>
      <c r="K182" s="1" t="s">
        <v>94</v>
      </c>
      <c r="L182" s="1" t="s">
        <v>1720</v>
      </c>
      <c r="M182" s="1">
        <v>217</v>
      </c>
    </row>
    <row r="183" spans="1:13" ht="57" x14ac:dyDescent="0.2">
      <c r="B183" s="1" t="s">
        <v>931</v>
      </c>
      <c r="C183" s="1">
        <v>6</v>
      </c>
      <c r="D183" s="1" t="s">
        <v>955</v>
      </c>
      <c r="E183" s="1" t="s">
        <v>225</v>
      </c>
      <c r="F183" s="1" t="s">
        <v>1721</v>
      </c>
      <c r="G183" s="1" t="s">
        <v>1722</v>
      </c>
      <c r="H183" s="1" t="s">
        <v>1723</v>
      </c>
      <c r="I183" s="1">
        <v>66</v>
      </c>
      <c r="J183" s="1" t="s">
        <v>225</v>
      </c>
      <c r="K183" s="1" t="s">
        <v>88</v>
      </c>
      <c r="L183" s="1" t="s">
        <v>1721</v>
      </c>
    </row>
    <row r="184" spans="1:13" ht="57" x14ac:dyDescent="0.2">
      <c r="B184" s="1" t="s">
        <v>931</v>
      </c>
      <c r="C184" s="1">
        <v>7</v>
      </c>
      <c r="D184" s="1" t="s">
        <v>960</v>
      </c>
      <c r="E184" s="1" t="s">
        <v>1372</v>
      </c>
      <c r="F184" s="1" t="s">
        <v>1724</v>
      </c>
      <c r="G184" s="1" t="s">
        <v>1725</v>
      </c>
      <c r="H184" s="1" t="s">
        <v>1726</v>
      </c>
      <c r="I184" s="1">
        <v>67</v>
      </c>
      <c r="J184" s="1" t="s">
        <v>1725</v>
      </c>
      <c r="K184" s="1" t="s">
        <v>94</v>
      </c>
      <c r="L184" s="1" t="s">
        <v>1726</v>
      </c>
    </row>
    <row r="185" spans="1:13" ht="57" x14ac:dyDescent="0.2">
      <c r="B185" s="1" t="s">
        <v>931</v>
      </c>
      <c r="C185" s="1">
        <v>8</v>
      </c>
      <c r="D185" s="1" t="s">
        <v>964</v>
      </c>
      <c r="E185" s="1" t="s">
        <v>1727</v>
      </c>
      <c r="F185" s="1" t="s">
        <v>1728</v>
      </c>
      <c r="G185" s="1" t="s">
        <v>1729</v>
      </c>
      <c r="H185" s="1" t="s">
        <v>1730</v>
      </c>
      <c r="I185" s="1">
        <v>80</v>
      </c>
      <c r="J185" s="1" t="s">
        <v>1729</v>
      </c>
      <c r="K185" s="1" t="s">
        <v>94</v>
      </c>
      <c r="L185" s="1" t="s">
        <v>1730</v>
      </c>
    </row>
    <row r="186" spans="1:13" ht="28.5" x14ac:dyDescent="0.2">
      <c r="B186" s="1" t="s">
        <v>971</v>
      </c>
      <c r="C186" s="1">
        <v>6</v>
      </c>
      <c r="D186" s="1" t="s">
        <v>972</v>
      </c>
      <c r="E186" s="1" t="s">
        <v>1731</v>
      </c>
      <c r="F186" s="1" t="s">
        <v>1732</v>
      </c>
      <c r="G186" s="1" t="s">
        <v>1502</v>
      </c>
      <c r="H186" s="1" t="s">
        <v>1733</v>
      </c>
      <c r="J186" s="1" t="s">
        <v>1731</v>
      </c>
      <c r="K186" s="1" t="s">
        <v>94</v>
      </c>
      <c r="L186" s="1" t="s">
        <v>1732</v>
      </c>
      <c r="M186" s="1">
        <v>246</v>
      </c>
    </row>
    <row r="187" spans="1:13" ht="42.75" x14ac:dyDescent="0.2">
      <c r="A187" s="1">
        <v>1</v>
      </c>
      <c r="B187" s="1" t="s">
        <v>971</v>
      </c>
      <c r="C187" s="1">
        <v>6</v>
      </c>
      <c r="D187" s="1" t="s">
        <v>976</v>
      </c>
      <c r="E187" s="1" t="s">
        <v>1734</v>
      </c>
      <c r="F187" s="1" t="s">
        <v>1735</v>
      </c>
      <c r="G187" s="1" t="s">
        <v>1736</v>
      </c>
      <c r="H187" s="1" t="s">
        <v>1737</v>
      </c>
      <c r="I187" s="1">
        <v>65</v>
      </c>
      <c r="J187" s="1" t="s">
        <v>1734</v>
      </c>
      <c r="K187" s="1">
        <v>0</v>
      </c>
      <c r="L187" s="1" t="s">
        <v>1735</v>
      </c>
    </row>
    <row r="188" spans="1:13" ht="42.75" x14ac:dyDescent="0.2">
      <c r="B188" s="1" t="s">
        <v>971</v>
      </c>
      <c r="C188" s="1">
        <v>7</v>
      </c>
      <c r="D188" s="1" t="s">
        <v>980</v>
      </c>
      <c r="E188" s="1" t="s">
        <v>1738</v>
      </c>
      <c r="F188" s="1" t="s">
        <v>1739</v>
      </c>
      <c r="G188" s="1" t="s">
        <v>1740</v>
      </c>
      <c r="H188" s="1" t="s">
        <v>1741</v>
      </c>
      <c r="I188" s="1">
        <v>73</v>
      </c>
      <c r="J188" s="1" t="s">
        <v>1738</v>
      </c>
      <c r="K188" s="1" t="s">
        <v>88</v>
      </c>
      <c r="L188" s="1" t="s">
        <v>1739</v>
      </c>
    </row>
    <row r="189" spans="1:13" ht="57" x14ac:dyDescent="0.2">
      <c r="B189" s="1" t="s">
        <v>971</v>
      </c>
      <c r="C189" s="1">
        <v>8</v>
      </c>
      <c r="D189" s="1" t="s">
        <v>988</v>
      </c>
      <c r="E189" s="1" t="s">
        <v>1742</v>
      </c>
      <c r="F189" s="1" t="s">
        <v>1743</v>
      </c>
      <c r="G189" s="1" t="s">
        <v>1527</v>
      </c>
      <c r="H189" s="1" t="s">
        <v>1744</v>
      </c>
      <c r="I189" s="1">
        <v>77</v>
      </c>
      <c r="J189" s="1" t="s">
        <v>1527</v>
      </c>
      <c r="K189" s="1" t="s">
        <v>94</v>
      </c>
      <c r="L189" s="1" t="s">
        <v>1744</v>
      </c>
    </row>
    <row r="190" spans="1:13" ht="42.75" x14ac:dyDescent="0.2">
      <c r="B190" s="1" t="s">
        <v>971</v>
      </c>
      <c r="C190" s="1">
        <v>9</v>
      </c>
      <c r="D190" s="1" t="s">
        <v>993</v>
      </c>
      <c r="E190" s="1" t="s">
        <v>1745</v>
      </c>
      <c r="F190" s="1" t="s">
        <v>1746</v>
      </c>
      <c r="G190" s="1" t="s">
        <v>1747</v>
      </c>
      <c r="H190" s="1" t="s">
        <v>1748</v>
      </c>
      <c r="I190" s="1">
        <v>79</v>
      </c>
      <c r="J190" s="1" t="s">
        <v>1745</v>
      </c>
      <c r="K190" s="1" t="s">
        <v>94</v>
      </c>
      <c r="L190" s="1" t="s">
        <v>1746</v>
      </c>
      <c r="M190" s="1">
        <v>343</v>
      </c>
    </row>
    <row r="191" spans="1:13" ht="42.75" x14ac:dyDescent="0.2">
      <c r="B191" s="1" t="s">
        <v>971</v>
      </c>
      <c r="C191" s="1">
        <v>9</v>
      </c>
      <c r="D191" s="1" t="s">
        <v>1749</v>
      </c>
      <c r="E191" s="1" t="s">
        <v>1750</v>
      </c>
      <c r="F191" s="1" t="s">
        <v>1751</v>
      </c>
      <c r="G191" s="1" t="s">
        <v>1093</v>
      </c>
      <c r="H191" s="1" t="s">
        <v>1752</v>
      </c>
      <c r="I191" s="1">
        <v>75</v>
      </c>
      <c r="J191" s="1" t="s">
        <v>1750</v>
      </c>
      <c r="K191" s="1" t="s">
        <v>88</v>
      </c>
      <c r="L191" s="1" t="s">
        <v>1751</v>
      </c>
      <c r="M191" s="1">
        <v>202</v>
      </c>
    </row>
    <row r="192" spans="1:13" ht="42.75" x14ac:dyDescent="0.2">
      <c r="B192" s="1" t="s">
        <v>1000</v>
      </c>
      <c r="C192" s="1">
        <v>7</v>
      </c>
      <c r="D192" s="1" t="s">
        <v>1006</v>
      </c>
      <c r="E192" s="1" t="s">
        <v>1016</v>
      </c>
      <c r="F192" s="1" t="s">
        <v>1753</v>
      </c>
      <c r="G192" s="1" t="s">
        <v>1754</v>
      </c>
      <c r="H192" s="1" t="s">
        <v>1755</v>
      </c>
      <c r="I192" s="1">
        <v>67</v>
      </c>
      <c r="J192" s="1" t="s">
        <v>1754</v>
      </c>
      <c r="K192" s="1" t="s">
        <v>94</v>
      </c>
      <c r="L192" s="1" t="s">
        <v>1755</v>
      </c>
    </row>
    <row r="193" spans="2:13" ht="57" x14ac:dyDescent="0.2">
      <c r="B193" s="1" t="s">
        <v>1000</v>
      </c>
      <c r="C193" s="1">
        <v>7</v>
      </c>
      <c r="D193" s="1" t="s">
        <v>1011</v>
      </c>
      <c r="E193" s="1" t="s">
        <v>1756</v>
      </c>
      <c r="F193" s="1" t="s">
        <v>1757</v>
      </c>
      <c r="G193" s="1" t="s">
        <v>1009</v>
      </c>
      <c r="H193" s="1" t="s">
        <v>1758</v>
      </c>
      <c r="I193" s="1">
        <v>76</v>
      </c>
      <c r="J193" s="1" t="s">
        <v>1009</v>
      </c>
      <c r="K193" s="1" t="s">
        <v>94</v>
      </c>
      <c r="L193" s="1" t="s">
        <v>1759</v>
      </c>
      <c r="M193" s="1">
        <v>321</v>
      </c>
    </row>
    <row r="194" spans="2:13" ht="42.75" x14ac:dyDescent="0.2">
      <c r="B194" s="1" t="s">
        <v>1000</v>
      </c>
      <c r="C194" s="1">
        <v>10</v>
      </c>
      <c r="D194" s="1" t="s">
        <v>1760</v>
      </c>
      <c r="E194" s="1" t="s">
        <v>905</v>
      </c>
      <c r="F194" s="1" t="s">
        <v>1761</v>
      </c>
      <c r="G194" s="1" t="s">
        <v>1762</v>
      </c>
      <c r="H194" s="1" t="s">
        <v>1763</v>
      </c>
      <c r="I194" s="1">
        <v>85</v>
      </c>
      <c r="J194" s="1" t="s">
        <v>1762</v>
      </c>
      <c r="K194" s="1" t="s">
        <v>94</v>
      </c>
      <c r="L194" s="1" t="s">
        <v>1763</v>
      </c>
      <c r="M194" s="1">
        <v>454</v>
      </c>
    </row>
  </sheetData>
  <autoFilter ref="A1:O194" xr:uid="{00000000-0009-0000-0000-000002000000}"/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1"/>
  <sheetViews>
    <sheetView topLeftCell="A181" workbookViewId="0">
      <selection activeCell="A190" sqref="A190:XFD190"/>
    </sheetView>
  </sheetViews>
  <sheetFormatPr defaultColWidth="8.625" defaultRowHeight="14.25" x14ac:dyDescent="0.2"/>
  <cols>
    <col min="1" max="3" width="8.625" style="1"/>
    <col min="4" max="4" width="20.125" style="1" customWidth="1"/>
    <col min="5" max="5" width="8.625" style="1"/>
    <col min="6" max="6" width="27.625" style="1" customWidth="1"/>
    <col min="7" max="7" width="8.625" style="1"/>
    <col min="8" max="8" width="27.375" style="1" customWidth="1"/>
    <col min="9" max="10" width="8.625" style="1"/>
    <col min="11" max="11" width="29.25" style="1" customWidth="1"/>
    <col min="12" max="16384" width="8.625" style="1"/>
  </cols>
  <sheetData>
    <row r="1" spans="1:12" x14ac:dyDescent="0.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1764</v>
      </c>
      <c r="G1" s="1" t="s">
        <v>75</v>
      </c>
      <c r="H1" s="1" t="s">
        <v>1765</v>
      </c>
      <c r="I1" s="1" t="s">
        <v>78</v>
      </c>
      <c r="J1" s="1" t="s">
        <v>79</v>
      </c>
      <c r="K1" s="1" t="s">
        <v>80</v>
      </c>
      <c r="L1" s="1" t="s">
        <v>81</v>
      </c>
    </row>
    <row r="2" spans="1:12" ht="28.5" x14ac:dyDescent="0.2">
      <c r="B2" s="1" t="s">
        <v>82</v>
      </c>
      <c r="C2" s="1">
        <v>6</v>
      </c>
      <c r="D2" s="1" t="s">
        <v>100</v>
      </c>
      <c r="E2" s="1" t="s">
        <v>1766</v>
      </c>
      <c r="F2" s="1" t="s">
        <v>1767</v>
      </c>
      <c r="G2" s="1" t="s">
        <v>1768</v>
      </c>
      <c r="H2" s="1" t="s">
        <v>1769</v>
      </c>
      <c r="I2" s="1" t="s">
        <v>1768</v>
      </c>
      <c r="J2" s="1" t="s">
        <v>88</v>
      </c>
      <c r="K2" s="1" t="s">
        <v>1769</v>
      </c>
      <c r="L2" s="1">
        <v>334</v>
      </c>
    </row>
    <row r="3" spans="1:12" ht="42.75" x14ac:dyDescent="0.2">
      <c r="B3" s="1" t="s">
        <v>82</v>
      </c>
      <c r="C3" s="1">
        <v>6</v>
      </c>
      <c r="D3" s="1" t="s">
        <v>95</v>
      </c>
      <c r="E3" s="1" t="s">
        <v>1731</v>
      </c>
      <c r="F3" s="1" t="s">
        <v>1770</v>
      </c>
      <c r="G3" s="1" t="s">
        <v>1771</v>
      </c>
      <c r="H3" s="1" t="s">
        <v>1772</v>
      </c>
      <c r="I3" s="1" t="s">
        <v>1731</v>
      </c>
      <c r="J3" s="1" t="s">
        <v>88</v>
      </c>
      <c r="K3" s="1" t="s">
        <v>1773</v>
      </c>
    </row>
    <row r="4" spans="1:12" ht="42.75" x14ac:dyDescent="0.2">
      <c r="B4" s="1" t="s">
        <v>82</v>
      </c>
      <c r="C4" s="1">
        <v>8</v>
      </c>
      <c r="D4" s="1" t="s">
        <v>122</v>
      </c>
      <c r="E4" s="1" t="s">
        <v>1299</v>
      </c>
      <c r="F4" s="1" t="s">
        <v>1774</v>
      </c>
      <c r="G4" s="1" t="s">
        <v>1775</v>
      </c>
      <c r="H4" s="1" t="s">
        <v>1776</v>
      </c>
      <c r="I4" s="1" t="s">
        <v>1299</v>
      </c>
      <c r="J4" s="1" t="s">
        <v>94</v>
      </c>
      <c r="K4" s="1" t="s">
        <v>1777</v>
      </c>
    </row>
    <row r="5" spans="1:12" ht="28.5" x14ac:dyDescent="0.2">
      <c r="B5" s="1" t="s">
        <v>82</v>
      </c>
      <c r="C5" s="1">
        <v>9</v>
      </c>
      <c r="D5" s="1" t="s">
        <v>105</v>
      </c>
      <c r="E5" s="1" t="s">
        <v>1778</v>
      </c>
      <c r="F5" s="1" t="s">
        <v>1779</v>
      </c>
      <c r="G5" s="1" t="s">
        <v>1780</v>
      </c>
      <c r="H5" s="1" t="s">
        <v>1781</v>
      </c>
      <c r="I5" s="1" t="s">
        <v>1778</v>
      </c>
      <c r="J5" s="1" t="s">
        <v>94</v>
      </c>
      <c r="K5" s="1" t="s">
        <v>1779</v>
      </c>
      <c r="L5" s="1">
        <v>843</v>
      </c>
    </row>
    <row r="6" spans="1:12" ht="42.75" x14ac:dyDescent="0.2">
      <c r="B6" s="1" t="s">
        <v>82</v>
      </c>
      <c r="C6" s="1">
        <v>9</v>
      </c>
      <c r="D6" s="1" t="s">
        <v>127</v>
      </c>
      <c r="E6" s="1" t="s">
        <v>538</v>
      </c>
      <c r="F6" s="1" t="s">
        <v>1782</v>
      </c>
      <c r="G6" s="1" t="s">
        <v>1783</v>
      </c>
      <c r="H6" s="1" t="s">
        <v>1784</v>
      </c>
      <c r="I6" s="1" t="s">
        <v>1783</v>
      </c>
      <c r="J6" s="1" t="s">
        <v>94</v>
      </c>
      <c r="K6" s="1" t="s">
        <v>1784</v>
      </c>
      <c r="L6" s="1">
        <v>435</v>
      </c>
    </row>
    <row r="7" spans="1:12" ht="28.5" x14ac:dyDescent="0.2">
      <c r="B7" s="1" t="s">
        <v>82</v>
      </c>
      <c r="C7" s="1">
        <v>9</v>
      </c>
      <c r="D7" s="1" t="s">
        <v>112</v>
      </c>
      <c r="E7" s="1" t="s">
        <v>1785</v>
      </c>
      <c r="F7" s="1" t="s">
        <v>1786</v>
      </c>
      <c r="G7" s="1" t="s">
        <v>1787</v>
      </c>
      <c r="H7" s="1" t="s">
        <v>1788</v>
      </c>
      <c r="I7" s="1" t="s">
        <v>1787</v>
      </c>
      <c r="J7" s="1" t="s">
        <v>94</v>
      </c>
      <c r="K7" s="1" t="s">
        <v>1788</v>
      </c>
      <c r="L7" s="1">
        <v>615</v>
      </c>
    </row>
    <row r="8" spans="1:12" ht="57" x14ac:dyDescent="0.2">
      <c r="B8" s="1" t="s">
        <v>82</v>
      </c>
      <c r="C8" s="1">
        <v>9</v>
      </c>
      <c r="D8" s="1" t="s">
        <v>1049</v>
      </c>
      <c r="E8" s="1" t="s">
        <v>1297</v>
      </c>
      <c r="F8" s="1" t="s">
        <v>1789</v>
      </c>
      <c r="G8" s="1" t="s">
        <v>796</v>
      </c>
      <c r="H8" s="1" t="s">
        <v>1790</v>
      </c>
      <c r="I8" s="1" t="s">
        <v>796</v>
      </c>
      <c r="J8" s="1" t="s">
        <v>94</v>
      </c>
      <c r="K8" s="1" t="s">
        <v>1790</v>
      </c>
      <c r="L8" s="1">
        <v>719</v>
      </c>
    </row>
    <row r="9" spans="1:12" ht="42.75" x14ac:dyDescent="0.2">
      <c r="B9" s="1" t="s">
        <v>82</v>
      </c>
      <c r="C9" s="1">
        <v>9</v>
      </c>
      <c r="D9" s="1" t="s">
        <v>117</v>
      </c>
      <c r="E9" s="1" t="s">
        <v>1007</v>
      </c>
      <c r="F9" s="1" t="s">
        <v>1791</v>
      </c>
      <c r="G9" s="1" t="s">
        <v>1089</v>
      </c>
      <c r="H9" s="1" t="s">
        <v>1792</v>
      </c>
      <c r="I9" s="1" t="s">
        <v>1089</v>
      </c>
      <c r="J9" s="1" t="s">
        <v>94</v>
      </c>
      <c r="K9" s="1" t="s">
        <v>1792</v>
      </c>
      <c r="L9" s="1">
        <v>468</v>
      </c>
    </row>
    <row r="10" spans="1:12" ht="28.5" x14ac:dyDescent="0.2">
      <c r="B10" s="1" t="s">
        <v>82</v>
      </c>
      <c r="C10" s="1">
        <v>10</v>
      </c>
      <c r="D10" s="1" t="s">
        <v>132</v>
      </c>
      <c r="E10" s="1" t="s">
        <v>1716</v>
      </c>
      <c r="F10" s="1" t="s">
        <v>1793</v>
      </c>
      <c r="G10" s="1" t="s">
        <v>1794</v>
      </c>
      <c r="H10" s="1" t="s">
        <v>1795</v>
      </c>
      <c r="I10" s="1" t="s">
        <v>1716</v>
      </c>
      <c r="J10" s="1" t="s">
        <v>94</v>
      </c>
      <c r="K10" s="1" t="s">
        <v>1793</v>
      </c>
      <c r="L10" s="1">
        <v>674</v>
      </c>
    </row>
    <row r="11" spans="1:12" ht="57" x14ac:dyDescent="0.2">
      <c r="B11" s="1" t="s">
        <v>82</v>
      </c>
      <c r="C11" s="1">
        <v>10</v>
      </c>
      <c r="D11" s="1" t="s">
        <v>137</v>
      </c>
      <c r="E11" s="1" t="s">
        <v>1796</v>
      </c>
      <c r="F11" s="1" t="s">
        <v>1797</v>
      </c>
      <c r="G11" s="1" t="s">
        <v>1798</v>
      </c>
      <c r="H11" s="1" t="s">
        <v>1799</v>
      </c>
      <c r="I11" s="1" t="s">
        <v>1798</v>
      </c>
      <c r="J11" s="1" t="s">
        <v>94</v>
      </c>
      <c r="K11" s="1">
        <v>0</v>
      </c>
    </row>
    <row r="12" spans="1:12" ht="28.5" x14ac:dyDescent="0.2">
      <c r="B12" s="1" t="s">
        <v>142</v>
      </c>
      <c r="C12" s="1">
        <v>7</v>
      </c>
      <c r="D12" s="1" t="s">
        <v>155</v>
      </c>
      <c r="E12" s="1" t="s">
        <v>547</v>
      </c>
      <c r="F12" s="1" t="s">
        <v>1800</v>
      </c>
      <c r="G12" s="1" t="s">
        <v>1433</v>
      </c>
      <c r="H12" s="1" t="s">
        <v>1801</v>
      </c>
      <c r="I12" s="1" t="s">
        <v>1285</v>
      </c>
      <c r="J12" s="1" t="s">
        <v>88</v>
      </c>
      <c r="K12" s="1" t="s">
        <v>1802</v>
      </c>
      <c r="L12" s="1">
        <v>298</v>
      </c>
    </row>
    <row r="13" spans="1:12" ht="42.75" x14ac:dyDescent="0.2">
      <c r="B13" s="1" t="s">
        <v>142</v>
      </c>
      <c r="C13" s="1">
        <v>7</v>
      </c>
      <c r="D13" s="1" t="s">
        <v>143</v>
      </c>
      <c r="E13" s="1" t="s">
        <v>838</v>
      </c>
      <c r="F13" s="1" t="s">
        <v>1803</v>
      </c>
      <c r="G13" s="1" t="s">
        <v>1804</v>
      </c>
      <c r="H13" s="1" t="s">
        <v>1805</v>
      </c>
      <c r="I13" s="1" t="s">
        <v>838</v>
      </c>
      <c r="J13" s="1" t="s">
        <v>94</v>
      </c>
      <c r="K13" s="1" t="s">
        <v>1803</v>
      </c>
      <c r="L13" s="1">
        <v>348</v>
      </c>
    </row>
    <row r="14" spans="1:12" ht="42.75" x14ac:dyDescent="0.2">
      <c r="B14" s="1" t="s">
        <v>142</v>
      </c>
      <c r="C14" s="1">
        <v>8</v>
      </c>
      <c r="D14" s="1" t="s">
        <v>161</v>
      </c>
      <c r="E14" s="1" t="s">
        <v>639</v>
      </c>
      <c r="F14" s="1" t="s">
        <v>1806</v>
      </c>
      <c r="G14" s="1" t="s">
        <v>408</v>
      </c>
      <c r="H14" s="1" t="s">
        <v>1807</v>
      </c>
      <c r="I14" s="1" t="s">
        <v>408</v>
      </c>
      <c r="J14" s="1" t="s">
        <v>94</v>
      </c>
      <c r="K14" s="1" t="s">
        <v>1807</v>
      </c>
      <c r="L14" s="1">
        <v>447</v>
      </c>
    </row>
    <row r="15" spans="1:12" ht="42.75" x14ac:dyDescent="0.2">
      <c r="B15" s="1" t="s">
        <v>142</v>
      </c>
      <c r="C15" s="1">
        <v>8</v>
      </c>
      <c r="D15" s="1" t="s">
        <v>171</v>
      </c>
      <c r="E15" s="1" t="s">
        <v>1808</v>
      </c>
      <c r="F15" s="1" t="s">
        <v>1809</v>
      </c>
      <c r="G15" s="1" t="s">
        <v>1810</v>
      </c>
      <c r="H15" s="1" t="s">
        <v>1811</v>
      </c>
      <c r="I15" s="1" t="s">
        <v>1812</v>
      </c>
      <c r="J15" s="1" t="s">
        <v>94</v>
      </c>
      <c r="K15" s="1" t="s">
        <v>1813</v>
      </c>
      <c r="L15" s="1">
        <v>493</v>
      </c>
    </row>
    <row r="16" spans="1:12" ht="57" x14ac:dyDescent="0.2">
      <c r="B16" s="1" t="s">
        <v>142</v>
      </c>
      <c r="C16" s="1">
        <v>8</v>
      </c>
      <c r="D16" s="1" t="s">
        <v>166</v>
      </c>
      <c r="E16" s="1" t="s">
        <v>1814</v>
      </c>
      <c r="F16" s="1" t="s">
        <v>1815</v>
      </c>
      <c r="G16" s="1" t="s">
        <v>1674</v>
      </c>
      <c r="H16" s="1" t="s">
        <v>1816</v>
      </c>
      <c r="I16" s="1" t="s">
        <v>1814</v>
      </c>
      <c r="J16" s="1" t="s">
        <v>88</v>
      </c>
      <c r="K16" s="1" t="s">
        <v>1817</v>
      </c>
    </row>
    <row r="17" spans="1:12" ht="42.75" x14ac:dyDescent="0.2">
      <c r="B17" s="1" t="s">
        <v>142</v>
      </c>
      <c r="C17" s="1">
        <v>9</v>
      </c>
      <c r="D17" s="1" t="s">
        <v>1083</v>
      </c>
      <c r="E17" s="1" t="s">
        <v>1818</v>
      </c>
      <c r="F17" s="1" t="s">
        <v>1819</v>
      </c>
      <c r="G17" s="1" t="s">
        <v>1168</v>
      </c>
      <c r="H17" s="1" t="s">
        <v>1820</v>
      </c>
      <c r="I17" s="1" t="s">
        <v>1821</v>
      </c>
      <c r="J17" s="1" t="s">
        <v>94</v>
      </c>
      <c r="K17" s="1" t="s">
        <v>1822</v>
      </c>
      <c r="L17" s="1">
        <v>703</v>
      </c>
    </row>
    <row r="18" spans="1:12" ht="42.75" x14ac:dyDescent="0.2">
      <c r="B18" s="1" t="s">
        <v>177</v>
      </c>
      <c r="C18" s="1">
        <v>6</v>
      </c>
      <c r="D18" s="1" t="s">
        <v>178</v>
      </c>
      <c r="E18" s="1" t="s">
        <v>1823</v>
      </c>
      <c r="F18" s="1" t="s">
        <v>1824</v>
      </c>
      <c r="G18" s="1" t="s">
        <v>1825</v>
      </c>
      <c r="H18" s="1" t="s">
        <v>1826</v>
      </c>
      <c r="I18" s="1" t="s">
        <v>1825</v>
      </c>
      <c r="J18" s="1" t="s">
        <v>94</v>
      </c>
      <c r="K18" s="1" t="s">
        <v>1826</v>
      </c>
      <c r="L18" s="1">
        <v>384</v>
      </c>
    </row>
    <row r="19" spans="1:12" ht="57" x14ac:dyDescent="0.2">
      <c r="B19" s="1" t="s">
        <v>177</v>
      </c>
      <c r="C19" s="1">
        <v>6</v>
      </c>
      <c r="D19" s="1" t="s">
        <v>197</v>
      </c>
      <c r="E19" s="1" t="s">
        <v>203</v>
      </c>
      <c r="F19" s="1" t="s">
        <v>1827</v>
      </c>
      <c r="G19" s="1" t="s">
        <v>1329</v>
      </c>
      <c r="H19" s="1" t="s">
        <v>1828</v>
      </c>
      <c r="I19" s="1" t="s">
        <v>203</v>
      </c>
      <c r="J19" s="1" t="s">
        <v>88</v>
      </c>
      <c r="K19" s="1" t="s">
        <v>1829</v>
      </c>
      <c r="L19" s="1">
        <v>243</v>
      </c>
    </row>
    <row r="20" spans="1:12" ht="42.75" x14ac:dyDescent="0.2">
      <c r="B20" s="1" t="s">
        <v>177</v>
      </c>
      <c r="C20" s="1">
        <v>6</v>
      </c>
      <c r="D20" s="1" t="s">
        <v>1830</v>
      </c>
      <c r="E20" s="1" t="s">
        <v>372</v>
      </c>
      <c r="F20" s="1" t="s">
        <v>1831</v>
      </c>
      <c r="G20" s="1" t="s">
        <v>1832</v>
      </c>
      <c r="H20" s="1" t="s">
        <v>1833</v>
      </c>
      <c r="I20" s="1" t="s">
        <v>1832</v>
      </c>
      <c r="J20" s="1" t="s">
        <v>88</v>
      </c>
      <c r="K20" s="1" t="s">
        <v>1833</v>
      </c>
      <c r="L20" s="1">
        <v>350</v>
      </c>
    </row>
    <row r="21" spans="1:12" ht="42.75" x14ac:dyDescent="0.2">
      <c r="B21" s="1" t="s">
        <v>177</v>
      </c>
      <c r="C21" s="1">
        <v>6</v>
      </c>
      <c r="D21" s="1" t="s">
        <v>220</v>
      </c>
      <c r="E21" s="1" t="s">
        <v>1834</v>
      </c>
      <c r="F21" s="1" t="s">
        <v>1835</v>
      </c>
      <c r="G21" s="1" t="s">
        <v>1836</v>
      </c>
      <c r="H21" s="1" t="s">
        <v>1837</v>
      </c>
      <c r="I21" s="1" t="s">
        <v>1836</v>
      </c>
      <c r="J21" s="1" t="s">
        <v>88</v>
      </c>
      <c r="K21" s="1" t="s">
        <v>1838</v>
      </c>
      <c r="L21" s="1">
        <v>441</v>
      </c>
    </row>
    <row r="22" spans="1:12" ht="42.75" x14ac:dyDescent="0.2">
      <c r="B22" s="1" t="s">
        <v>177</v>
      </c>
      <c r="C22" s="1">
        <v>6</v>
      </c>
      <c r="D22" s="1" t="s">
        <v>188</v>
      </c>
      <c r="E22" s="1" t="s">
        <v>1020</v>
      </c>
      <c r="F22" s="1" t="s">
        <v>1839</v>
      </c>
      <c r="G22" s="1" t="s">
        <v>1241</v>
      </c>
      <c r="H22" s="1" t="s">
        <v>1840</v>
      </c>
      <c r="I22" s="1" t="s">
        <v>1241</v>
      </c>
      <c r="J22" s="1" t="s">
        <v>94</v>
      </c>
      <c r="K22" s="1" t="s">
        <v>1841</v>
      </c>
      <c r="L22" s="1">
        <v>301</v>
      </c>
    </row>
    <row r="23" spans="1:12" ht="42.75" x14ac:dyDescent="0.2">
      <c r="B23" s="1" t="s">
        <v>177</v>
      </c>
      <c r="C23" s="1">
        <v>6</v>
      </c>
      <c r="D23" s="1" t="s">
        <v>192</v>
      </c>
      <c r="E23" s="1" t="s">
        <v>1842</v>
      </c>
      <c r="F23" s="1" t="s">
        <v>1843</v>
      </c>
      <c r="G23" s="1" t="s">
        <v>1844</v>
      </c>
      <c r="H23" s="1" t="s">
        <v>1845</v>
      </c>
      <c r="I23" s="1" t="s">
        <v>1507</v>
      </c>
      <c r="J23" s="1" t="s">
        <v>94</v>
      </c>
      <c r="K23" s="1" t="s">
        <v>1846</v>
      </c>
      <c r="L23" s="1">
        <v>362</v>
      </c>
    </row>
    <row r="24" spans="1:12" ht="42.75" x14ac:dyDescent="0.2">
      <c r="B24" s="1" t="s">
        <v>177</v>
      </c>
      <c r="C24" s="1">
        <v>6</v>
      </c>
      <c r="D24" s="1" t="s">
        <v>1847</v>
      </c>
      <c r="E24" s="1" t="s">
        <v>1471</v>
      </c>
      <c r="F24" s="1" t="s">
        <v>1848</v>
      </c>
      <c r="G24" s="1" t="s">
        <v>1849</v>
      </c>
      <c r="H24" s="1" t="s">
        <v>1850</v>
      </c>
      <c r="I24" s="1" t="s">
        <v>1471</v>
      </c>
      <c r="J24" s="1" t="s">
        <v>94</v>
      </c>
      <c r="K24" s="1" t="s">
        <v>1851</v>
      </c>
      <c r="L24" s="1">
        <v>396</v>
      </c>
    </row>
    <row r="25" spans="1:12" ht="42.75" x14ac:dyDescent="0.2">
      <c r="B25" s="1" t="s">
        <v>177</v>
      </c>
      <c r="C25" s="1">
        <v>6</v>
      </c>
      <c r="D25" s="1" t="s">
        <v>227</v>
      </c>
      <c r="E25" s="1" t="s">
        <v>547</v>
      </c>
      <c r="F25" s="1" t="s">
        <v>1852</v>
      </c>
      <c r="G25" s="1" t="s">
        <v>1853</v>
      </c>
      <c r="H25" s="1" t="s">
        <v>1854</v>
      </c>
      <c r="I25" s="1" t="s">
        <v>1853</v>
      </c>
      <c r="J25" s="1" t="s">
        <v>94</v>
      </c>
      <c r="K25" s="1" t="s">
        <v>1854</v>
      </c>
      <c r="L25" s="1">
        <v>382</v>
      </c>
    </row>
    <row r="26" spans="1:12" ht="42.75" x14ac:dyDescent="0.2">
      <c r="B26" s="1" t="s">
        <v>177</v>
      </c>
      <c r="C26" s="1">
        <v>7</v>
      </c>
      <c r="D26" s="1" t="s">
        <v>250</v>
      </c>
      <c r="E26" s="1" t="s">
        <v>1239</v>
      </c>
      <c r="F26" s="1" t="s">
        <v>1855</v>
      </c>
      <c r="G26" s="1" t="s">
        <v>332</v>
      </c>
      <c r="H26" s="1" t="s">
        <v>1856</v>
      </c>
      <c r="I26" s="1" t="s">
        <v>332</v>
      </c>
      <c r="J26" s="1" t="s">
        <v>94</v>
      </c>
      <c r="K26" s="1" t="s">
        <v>1856</v>
      </c>
      <c r="L26" s="1">
        <v>406</v>
      </c>
    </row>
    <row r="27" spans="1:12" ht="42.75" x14ac:dyDescent="0.2">
      <c r="B27" s="1" t="s">
        <v>177</v>
      </c>
      <c r="C27" s="1">
        <v>7</v>
      </c>
      <c r="D27" s="1" t="s">
        <v>1127</v>
      </c>
      <c r="E27" s="1" t="s">
        <v>1857</v>
      </c>
      <c r="F27" s="1" t="s">
        <v>1858</v>
      </c>
      <c r="G27" s="1" t="s">
        <v>1859</v>
      </c>
      <c r="H27" s="1" t="s">
        <v>1860</v>
      </c>
      <c r="I27" s="1" t="s">
        <v>1859</v>
      </c>
      <c r="J27" s="1" t="s">
        <v>94</v>
      </c>
      <c r="K27" s="1" t="s">
        <v>1860</v>
      </c>
      <c r="L27" s="1">
        <v>463</v>
      </c>
    </row>
    <row r="28" spans="1:12" ht="57" x14ac:dyDescent="0.2">
      <c r="A28" s="1" t="s">
        <v>244</v>
      </c>
      <c r="B28" s="1" t="s">
        <v>177</v>
      </c>
      <c r="C28" s="1">
        <v>7</v>
      </c>
      <c r="D28" s="1" t="s">
        <v>1121</v>
      </c>
      <c r="E28" s="1" t="s">
        <v>1861</v>
      </c>
      <c r="F28" s="1" t="s">
        <v>1862</v>
      </c>
      <c r="G28" s="1" t="s">
        <v>1714</v>
      </c>
      <c r="H28" s="1" t="s">
        <v>1863</v>
      </c>
      <c r="I28" s="1" t="s">
        <v>1861</v>
      </c>
      <c r="J28" s="1" t="s">
        <v>94</v>
      </c>
      <c r="K28" s="1" t="s">
        <v>1864</v>
      </c>
      <c r="L28" s="1">
        <v>286</v>
      </c>
    </row>
    <row r="29" spans="1:12" ht="57" x14ac:dyDescent="0.2">
      <c r="A29" s="1" t="s">
        <v>1865</v>
      </c>
      <c r="B29" s="1" t="s">
        <v>177</v>
      </c>
      <c r="C29" s="1">
        <v>8</v>
      </c>
      <c r="D29" s="1" t="s">
        <v>1121</v>
      </c>
      <c r="E29" s="1" t="s">
        <v>1861</v>
      </c>
      <c r="F29" s="1" t="s">
        <v>1862</v>
      </c>
      <c r="G29" s="1" t="s">
        <v>1714</v>
      </c>
      <c r="H29" s="1" t="s">
        <v>1863</v>
      </c>
      <c r="I29" s="1" t="s">
        <v>1861</v>
      </c>
      <c r="J29" s="1" t="s">
        <v>94</v>
      </c>
      <c r="K29" s="1" t="s">
        <v>1864</v>
      </c>
      <c r="L29" s="1">
        <v>560</v>
      </c>
    </row>
    <row r="30" spans="1:12" ht="42.75" x14ac:dyDescent="0.2">
      <c r="B30" s="1" t="s">
        <v>177</v>
      </c>
      <c r="C30" s="1">
        <v>8</v>
      </c>
      <c r="D30" s="1" t="s">
        <v>277</v>
      </c>
      <c r="E30" s="1" t="s">
        <v>1866</v>
      </c>
      <c r="F30" s="1" t="s">
        <v>1867</v>
      </c>
      <c r="G30" s="1" t="s">
        <v>284</v>
      </c>
      <c r="H30" s="1" t="s">
        <v>1868</v>
      </c>
      <c r="I30" s="1" t="s">
        <v>1869</v>
      </c>
      <c r="J30" s="1" t="s">
        <v>94</v>
      </c>
      <c r="K30" s="1" t="s">
        <v>1870</v>
      </c>
      <c r="L30" s="1">
        <v>500</v>
      </c>
    </row>
    <row r="31" spans="1:12" ht="42.75" x14ac:dyDescent="0.2">
      <c r="B31" s="1" t="s">
        <v>177</v>
      </c>
      <c r="C31" s="1">
        <v>8</v>
      </c>
      <c r="D31" s="1" t="s">
        <v>1159</v>
      </c>
      <c r="E31" s="1" t="s">
        <v>1297</v>
      </c>
      <c r="F31" s="1" t="s">
        <v>1871</v>
      </c>
      <c r="G31" s="1" t="s">
        <v>1859</v>
      </c>
      <c r="H31" s="1" t="s">
        <v>1872</v>
      </c>
      <c r="I31" s="1" t="s">
        <v>1859</v>
      </c>
      <c r="J31" s="1" t="s">
        <v>94</v>
      </c>
      <c r="K31" s="1" t="s">
        <v>1872</v>
      </c>
      <c r="L31" s="1">
        <v>688</v>
      </c>
    </row>
    <row r="32" spans="1:12" ht="57" x14ac:dyDescent="0.2">
      <c r="B32" s="1" t="s">
        <v>177</v>
      </c>
      <c r="C32" s="1">
        <v>8</v>
      </c>
      <c r="D32" s="1" t="s">
        <v>1132</v>
      </c>
      <c r="E32" s="1" t="s">
        <v>1873</v>
      </c>
      <c r="F32" s="1" t="s">
        <v>1874</v>
      </c>
      <c r="G32" s="1" t="s">
        <v>120</v>
      </c>
      <c r="H32" s="1" t="s">
        <v>1875</v>
      </c>
      <c r="I32" s="1" t="s">
        <v>120</v>
      </c>
      <c r="J32" s="1" t="s">
        <v>94</v>
      </c>
      <c r="K32" s="1" t="s">
        <v>1875</v>
      </c>
      <c r="L32" s="1">
        <v>645</v>
      </c>
    </row>
    <row r="33" spans="2:12" ht="42.75" x14ac:dyDescent="0.2">
      <c r="B33" s="1" t="s">
        <v>177</v>
      </c>
      <c r="C33" s="1">
        <v>8</v>
      </c>
      <c r="D33" s="1" t="s">
        <v>207</v>
      </c>
      <c r="E33" s="1" t="s">
        <v>794</v>
      </c>
      <c r="F33" s="1" t="s">
        <v>1876</v>
      </c>
      <c r="G33" s="1" t="s">
        <v>1877</v>
      </c>
      <c r="H33" s="1" t="s">
        <v>1878</v>
      </c>
      <c r="I33" s="1" t="s">
        <v>388</v>
      </c>
      <c r="J33" s="1" t="s">
        <v>94</v>
      </c>
      <c r="K33" s="1" t="s">
        <v>1879</v>
      </c>
      <c r="L33" s="1">
        <v>444</v>
      </c>
    </row>
    <row r="34" spans="2:12" ht="57" x14ac:dyDescent="0.2">
      <c r="B34" s="1" t="s">
        <v>177</v>
      </c>
      <c r="C34" s="1">
        <v>8</v>
      </c>
      <c r="D34" s="1" t="s">
        <v>255</v>
      </c>
      <c r="E34" s="1" t="s">
        <v>1880</v>
      </c>
      <c r="F34" s="1" t="s">
        <v>1881</v>
      </c>
      <c r="G34" s="1" t="s">
        <v>1882</v>
      </c>
      <c r="H34" s="1" t="s">
        <v>1883</v>
      </c>
      <c r="I34" s="1" t="s">
        <v>1880</v>
      </c>
      <c r="J34" s="1" t="s">
        <v>94</v>
      </c>
      <c r="K34" s="1" t="s">
        <v>1881</v>
      </c>
      <c r="L34" s="1">
        <v>371</v>
      </c>
    </row>
    <row r="35" spans="2:12" ht="42.75" x14ac:dyDescent="0.2">
      <c r="B35" s="1" t="s">
        <v>177</v>
      </c>
      <c r="C35" s="1">
        <v>8</v>
      </c>
      <c r="D35" s="1" t="s">
        <v>261</v>
      </c>
      <c r="E35" s="1" t="s">
        <v>562</v>
      </c>
      <c r="F35" s="1" t="s">
        <v>1884</v>
      </c>
      <c r="G35" s="1" t="s">
        <v>189</v>
      </c>
      <c r="H35" s="1" t="s">
        <v>1885</v>
      </c>
      <c r="I35" s="1" t="s">
        <v>562</v>
      </c>
      <c r="J35" s="1" t="s">
        <v>94</v>
      </c>
      <c r="K35" s="1" t="s">
        <v>1886</v>
      </c>
    </row>
    <row r="36" spans="2:12" ht="42.75" x14ac:dyDescent="0.2">
      <c r="B36" s="1" t="s">
        <v>177</v>
      </c>
      <c r="C36" s="1">
        <v>8</v>
      </c>
      <c r="D36" s="1" t="s">
        <v>1154</v>
      </c>
      <c r="E36" s="1" t="s">
        <v>1887</v>
      </c>
      <c r="F36" s="1" t="s">
        <v>1888</v>
      </c>
      <c r="G36" s="1" t="s">
        <v>1889</v>
      </c>
      <c r="H36" s="1" t="s">
        <v>1890</v>
      </c>
      <c r="I36" s="1" t="s">
        <v>1891</v>
      </c>
      <c r="J36" s="1" t="s">
        <v>94</v>
      </c>
      <c r="K36" s="1" t="s">
        <v>1892</v>
      </c>
    </row>
    <row r="37" spans="2:12" ht="42.75" x14ac:dyDescent="0.2">
      <c r="B37" s="1" t="s">
        <v>177</v>
      </c>
      <c r="C37" s="1">
        <v>9</v>
      </c>
      <c r="D37" s="1" t="s">
        <v>272</v>
      </c>
      <c r="E37" s="1" t="s">
        <v>924</v>
      </c>
      <c r="F37" s="1" t="s">
        <v>1893</v>
      </c>
      <c r="G37" s="1" t="s">
        <v>1894</v>
      </c>
      <c r="H37" s="1" t="s">
        <v>1895</v>
      </c>
      <c r="I37" s="1" t="s">
        <v>133</v>
      </c>
      <c r="J37" s="1" t="s">
        <v>94</v>
      </c>
      <c r="K37" s="1" t="s">
        <v>1896</v>
      </c>
      <c r="L37" s="1">
        <v>521</v>
      </c>
    </row>
    <row r="38" spans="2:12" ht="42.75" x14ac:dyDescent="0.2">
      <c r="B38" s="1" t="s">
        <v>177</v>
      </c>
      <c r="C38" s="1">
        <v>9</v>
      </c>
      <c r="D38" s="1" t="s">
        <v>282</v>
      </c>
      <c r="E38" s="1" t="s">
        <v>1897</v>
      </c>
      <c r="F38" s="1" t="s">
        <v>1898</v>
      </c>
      <c r="G38" s="1" t="s">
        <v>1899</v>
      </c>
      <c r="H38" s="1" t="s">
        <v>1900</v>
      </c>
      <c r="I38" s="1" t="s">
        <v>1897</v>
      </c>
      <c r="J38" s="1" t="s">
        <v>94</v>
      </c>
      <c r="K38" s="1" t="s">
        <v>1898</v>
      </c>
      <c r="L38" s="1">
        <v>614</v>
      </c>
    </row>
    <row r="39" spans="2:12" ht="28.5" x14ac:dyDescent="0.2">
      <c r="B39" s="1" t="s">
        <v>286</v>
      </c>
      <c r="C39" s="1">
        <v>6</v>
      </c>
      <c r="D39" s="1" t="s">
        <v>287</v>
      </c>
      <c r="E39" s="1" t="s">
        <v>451</v>
      </c>
      <c r="F39" s="1" t="s">
        <v>1901</v>
      </c>
      <c r="G39" s="1" t="s">
        <v>1902</v>
      </c>
      <c r="H39" s="1" t="s">
        <v>1903</v>
      </c>
      <c r="I39" s="1" t="s">
        <v>451</v>
      </c>
      <c r="J39" s="1" t="s">
        <v>94</v>
      </c>
      <c r="K39" s="1" t="s">
        <v>1901</v>
      </c>
      <c r="L39" s="1">
        <v>464</v>
      </c>
    </row>
    <row r="40" spans="2:12" ht="42.75" x14ac:dyDescent="0.2">
      <c r="B40" s="1" t="s">
        <v>286</v>
      </c>
      <c r="C40" s="1">
        <v>8</v>
      </c>
      <c r="D40" s="1" t="s">
        <v>299</v>
      </c>
      <c r="E40" s="1" t="s">
        <v>1904</v>
      </c>
      <c r="F40" s="1" t="s">
        <v>1905</v>
      </c>
      <c r="G40" s="1" t="s">
        <v>1906</v>
      </c>
      <c r="H40" s="1" t="s">
        <v>1907</v>
      </c>
      <c r="I40" s="1" t="s">
        <v>1906</v>
      </c>
      <c r="J40" s="1" t="s">
        <v>94</v>
      </c>
      <c r="K40" s="1" t="s">
        <v>1907</v>
      </c>
      <c r="L40" s="1">
        <v>548</v>
      </c>
    </row>
    <row r="41" spans="2:12" ht="57" x14ac:dyDescent="0.2">
      <c r="B41" s="1" t="s">
        <v>286</v>
      </c>
      <c r="C41" s="1">
        <v>8</v>
      </c>
      <c r="D41" s="1" t="s">
        <v>306</v>
      </c>
      <c r="E41" s="1" t="s">
        <v>831</v>
      </c>
      <c r="F41" s="1" t="s">
        <v>1908</v>
      </c>
      <c r="G41" s="1" t="s">
        <v>264</v>
      </c>
      <c r="H41" s="1" t="s">
        <v>1909</v>
      </c>
      <c r="I41" s="1" t="s">
        <v>831</v>
      </c>
      <c r="J41" s="1" t="s">
        <v>94</v>
      </c>
      <c r="K41" s="1" t="s">
        <v>1910</v>
      </c>
      <c r="L41" s="1">
        <v>478</v>
      </c>
    </row>
    <row r="42" spans="2:12" ht="42.75" x14ac:dyDescent="0.2">
      <c r="B42" s="1" t="s">
        <v>286</v>
      </c>
      <c r="C42" s="1">
        <v>9</v>
      </c>
      <c r="D42" s="1" t="s">
        <v>292</v>
      </c>
      <c r="E42" s="1" t="s">
        <v>1911</v>
      </c>
      <c r="F42" s="1" t="s">
        <v>1912</v>
      </c>
      <c r="G42" s="1" t="s">
        <v>1913</v>
      </c>
      <c r="H42" s="1" t="s">
        <v>1914</v>
      </c>
      <c r="I42" s="1" t="s">
        <v>1913</v>
      </c>
      <c r="J42" s="1" t="s">
        <v>94</v>
      </c>
      <c r="K42" s="1" t="s">
        <v>1915</v>
      </c>
      <c r="L42" s="1">
        <v>447</v>
      </c>
    </row>
    <row r="43" spans="2:12" ht="57" x14ac:dyDescent="0.2">
      <c r="B43" s="1" t="s">
        <v>286</v>
      </c>
      <c r="C43" s="1">
        <v>9</v>
      </c>
      <c r="D43" s="1" t="s">
        <v>311</v>
      </c>
      <c r="E43" s="1" t="s">
        <v>718</v>
      </c>
      <c r="F43" s="1" t="s">
        <v>1916</v>
      </c>
      <c r="G43" s="1" t="s">
        <v>1917</v>
      </c>
      <c r="H43" s="1" t="s">
        <v>1918</v>
      </c>
      <c r="I43" s="1" t="s">
        <v>718</v>
      </c>
      <c r="J43" s="1" t="s">
        <v>94</v>
      </c>
      <c r="K43" s="1" t="s">
        <v>1916</v>
      </c>
    </row>
    <row r="44" spans="2:12" ht="57" x14ac:dyDescent="0.2">
      <c r="B44" s="1" t="s">
        <v>286</v>
      </c>
      <c r="C44" s="1">
        <v>10</v>
      </c>
      <c r="D44" s="1" t="s">
        <v>1192</v>
      </c>
      <c r="E44" s="1" t="s">
        <v>631</v>
      </c>
      <c r="F44" s="1" t="s">
        <v>1919</v>
      </c>
      <c r="G44" s="1" t="s">
        <v>1575</v>
      </c>
      <c r="H44" s="1" t="s">
        <v>1920</v>
      </c>
      <c r="I44" s="1" t="s">
        <v>1921</v>
      </c>
      <c r="J44" s="1" t="s">
        <v>94</v>
      </c>
      <c r="K44" s="1" t="s">
        <v>1919</v>
      </c>
      <c r="L44" s="1">
        <v>597</v>
      </c>
    </row>
    <row r="45" spans="2:12" ht="57" x14ac:dyDescent="0.2">
      <c r="B45" s="1" t="s">
        <v>286</v>
      </c>
      <c r="C45" s="1">
        <v>10</v>
      </c>
      <c r="D45" s="1" t="s">
        <v>316</v>
      </c>
      <c r="E45" s="1" t="s">
        <v>1922</v>
      </c>
      <c r="F45" s="1" t="s">
        <v>1923</v>
      </c>
      <c r="G45" s="1" t="s">
        <v>1924</v>
      </c>
      <c r="H45" s="1" t="s">
        <v>1925</v>
      </c>
      <c r="I45" s="1" t="s">
        <v>1924</v>
      </c>
      <c r="J45" s="1" t="s">
        <v>94</v>
      </c>
      <c r="K45" s="1" t="s">
        <v>1925</v>
      </c>
    </row>
    <row r="46" spans="2:12" ht="28.5" x14ac:dyDescent="0.2">
      <c r="B46" s="1" t="s">
        <v>321</v>
      </c>
      <c r="C46" s="1">
        <v>6</v>
      </c>
      <c r="D46" s="1" t="s">
        <v>322</v>
      </c>
      <c r="E46" s="1" t="s">
        <v>1926</v>
      </c>
      <c r="F46" s="1" t="s">
        <v>1927</v>
      </c>
      <c r="G46" s="1" t="s">
        <v>181</v>
      </c>
      <c r="H46" s="1" t="s">
        <v>1928</v>
      </c>
      <c r="I46" s="1" t="s">
        <v>181</v>
      </c>
      <c r="J46" s="1" t="s">
        <v>94</v>
      </c>
      <c r="K46" s="1" t="s">
        <v>1928</v>
      </c>
      <c r="L46" s="1">
        <v>330</v>
      </c>
    </row>
    <row r="47" spans="2:12" ht="28.5" x14ac:dyDescent="0.2">
      <c r="B47" s="1" t="s">
        <v>321</v>
      </c>
      <c r="C47" s="1">
        <v>6</v>
      </c>
      <c r="D47" s="1" t="s">
        <v>329</v>
      </c>
      <c r="E47" s="1" t="s">
        <v>1929</v>
      </c>
      <c r="F47" s="1" t="s">
        <v>1930</v>
      </c>
      <c r="G47" s="1" t="s">
        <v>967</v>
      </c>
      <c r="H47" s="1" t="s">
        <v>1931</v>
      </c>
      <c r="I47" s="1" t="s">
        <v>1929</v>
      </c>
      <c r="J47" s="1" t="s">
        <v>94</v>
      </c>
      <c r="K47" s="1" t="s">
        <v>1930</v>
      </c>
      <c r="L47" s="1">
        <v>395</v>
      </c>
    </row>
    <row r="48" spans="2:12" ht="42.75" x14ac:dyDescent="0.2">
      <c r="B48" s="1" t="s">
        <v>321</v>
      </c>
      <c r="C48" s="1">
        <v>6</v>
      </c>
      <c r="D48" s="1" t="s">
        <v>1932</v>
      </c>
      <c r="E48" s="1" t="s">
        <v>1933</v>
      </c>
      <c r="F48" s="1" t="s">
        <v>1934</v>
      </c>
      <c r="G48" s="1" t="s">
        <v>125</v>
      </c>
      <c r="H48" s="1" t="s">
        <v>1935</v>
      </c>
      <c r="I48" s="1" t="s">
        <v>125</v>
      </c>
      <c r="J48" s="1" t="s">
        <v>1936</v>
      </c>
      <c r="K48" s="1" t="s">
        <v>1937</v>
      </c>
      <c r="L48" s="1">
        <v>366</v>
      </c>
    </row>
    <row r="49" spans="1:12" ht="42.75" x14ac:dyDescent="0.2">
      <c r="B49" s="1" t="s">
        <v>321</v>
      </c>
      <c r="C49" s="1">
        <v>6</v>
      </c>
      <c r="D49" s="1" t="s">
        <v>335</v>
      </c>
      <c r="E49" s="1" t="s">
        <v>1938</v>
      </c>
      <c r="F49" s="1" t="s">
        <v>1939</v>
      </c>
      <c r="G49" s="1" t="s">
        <v>1940</v>
      </c>
      <c r="H49" s="1" t="s">
        <v>1941</v>
      </c>
      <c r="I49" s="1" t="s">
        <v>1940</v>
      </c>
      <c r="J49" s="1" t="s">
        <v>88</v>
      </c>
      <c r="K49" s="1" t="s">
        <v>1941</v>
      </c>
    </row>
    <row r="50" spans="1:12" ht="42.75" x14ac:dyDescent="0.2">
      <c r="B50" s="1" t="s">
        <v>321</v>
      </c>
      <c r="C50" s="1">
        <v>7</v>
      </c>
      <c r="D50" s="1" t="s">
        <v>1942</v>
      </c>
      <c r="E50" s="1" t="s">
        <v>1208</v>
      </c>
      <c r="F50" s="1" t="s">
        <v>1943</v>
      </c>
      <c r="G50" s="1" t="s">
        <v>1944</v>
      </c>
      <c r="H50" s="1" t="s">
        <v>1945</v>
      </c>
      <c r="I50" s="1" t="s">
        <v>1944</v>
      </c>
      <c r="J50" s="1" t="s">
        <v>94</v>
      </c>
      <c r="K50" s="1" t="s">
        <v>1945</v>
      </c>
      <c r="L50" s="1">
        <v>495</v>
      </c>
    </row>
    <row r="51" spans="1:12" ht="57" x14ac:dyDescent="0.2">
      <c r="A51" s="1">
        <v>1</v>
      </c>
      <c r="B51" s="1" t="s">
        <v>321</v>
      </c>
      <c r="C51" s="1">
        <v>7</v>
      </c>
      <c r="D51" s="1" t="s">
        <v>340</v>
      </c>
      <c r="E51" s="1" t="s">
        <v>1946</v>
      </c>
      <c r="F51" s="1" t="s">
        <v>1947</v>
      </c>
      <c r="G51" s="1" t="s">
        <v>1948</v>
      </c>
      <c r="H51" s="1" t="s">
        <v>1949</v>
      </c>
      <c r="I51" s="1" t="s">
        <v>1946</v>
      </c>
      <c r="J51" s="1" t="s">
        <v>94</v>
      </c>
      <c r="K51" s="1" t="s">
        <v>1947</v>
      </c>
    </row>
    <row r="52" spans="1:12" ht="57" x14ac:dyDescent="0.2">
      <c r="B52" s="1" t="s">
        <v>321</v>
      </c>
      <c r="C52" s="1">
        <v>8</v>
      </c>
      <c r="D52" s="1" t="s">
        <v>345</v>
      </c>
      <c r="E52" s="1" t="s">
        <v>823</v>
      </c>
      <c r="F52" s="1" t="s">
        <v>1950</v>
      </c>
      <c r="G52" s="1" t="s">
        <v>176</v>
      </c>
      <c r="H52" s="1" t="s">
        <v>1951</v>
      </c>
      <c r="I52" s="1" t="s">
        <v>176</v>
      </c>
      <c r="J52" s="1" t="s">
        <v>94</v>
      </c>
      <c r="K52" s="1" t="s">
        <v>1951</v>
      </c>
      <c r="L52" s="1">
        <v>441</v>
      </c>
    </row>
    <row r="53" spans="1:12" ht="42.75" x14ac:dyDescent="0.2">
      <c r="B53" s="1" t="s">
        <v>321</v>
      </c>
      <c r="C53" s="1">
        <v>9</v>
      </c>
      <c r="D53" s="1" t="s">
        <v>1229</v>
      </c>
      <c r="E53" s="1" t="s">
        <v>1952</v>
      </c>
      <c r="F53" s="1" t="s">
        <v>1953</v>
      </c>
      <c r="G53" s="1" t="s">
        <v>609</v>
      </c>
      <c r="H53" s="1" t="s">
        <v>1954</v>
      </c>
      <c r="I53" s="1" t="s">
        <v>609</v>
      </c>
      <c r="J53" s="1" t="s">
        <v>94</v>
      </c>
      <c r="K53" s="1" t="s">
        <v>1954</v>
      </c>
      <c r="L53" s="1">
        <v>673</v>
      </c>
    </row>
    <row r="54" spans="1:12" ht="57" x14ac:dyDescent="0.2">
      <c r="B54" s="1" t="s">
        <v>321</v>
      </c>
      <c r="C54" s="1">
        <v>10</v>
      </c>
      <c r="D54" s="1" t="s">
        <v>349</v>
      </c>
      <c r="E54" s="1" t="s">
        <v>1955</v>
      </c>
      <c r="F54" s="1" t="s">
        <v>1956</v>
      </c>
      <c r="G54" s="1" t="s">
        <v>458</v>
      </c>
      <c r="H54" s="1" t="s">
        <v>1957</v>
      </c>
      <c r="I54" s="1" t="s">
        <v>458</v>
      </c>
      <c r="J54" s="1" t="s">
        <v>94</v>
      </c>
      <c r="K54" s="1" t="s">
        <v>1957</v>
      </c>
      <c r="L54" s="1">
        <v>571</v>
      </c>
    </row>
    <row r="55" spans="1:12" ht="42.75" x14ac:dyDescent="0.2">
      <c r="B55" s="1" t="s">
        <v>362</v>
      </c>
      <c r="C55" s="1">
        <v>7</v>
      </c>
      <c r="D55" s="1" t="s">
        <v>374</v>
      </c>
      <c r="E55" s="1" t="s">
        <v>1958</v>
      </c>
      <c r="F55" s="1" t="s">
        <v>1959</v>
      </c>
      <c r="G55" s="1" t="s">
        <v>711</v>
      </c>
      <c r="H55" s="1" t="s">
        <v>1960</v>
      </c>
      <c r="I55" s="1" t="s">
        <v>1958</v>
      </c>
      <c r="J55" s="1" t="s">
        <v>94</v>
      </c>
      <c r="K55" s="1" t="s">
        <v>1959</v>
      </c>
    </row>
    <row r="56" spans="1:12" ht="57" x14ac:dyDescent="0.2">
      <c r="B56" s="1" t="s">
        <v>362</v>
      </c>
      <c r="C56" s="1">
        <v>10</v>
      </c>
      <c r="D56" s="1" t="s">
        <v>379</v>
      </c>
      <c r="E56" s="1" t="s">
        <v>1961</v>
      </c>
      <c r="F56" s="1" t="s">
        <v>1962</v>
      </c>
      <c r="G56" s="1" t="s">
        <v>1963</v>
      </c>
      <c r="H56" s="1" t="s">
        <v>1964</v>
      </c>
      <c r="I56" s="1" t="s">
        <v>1965</v>
      </c>
      <c r="J56" s="1" t="s">
        <v>94</v>
      </c>
      <c r="K56" s="1" t="s">
        <v>1966</v>
      </c>
      <c r="L56" s="1">
        <v>587</v>
      </c>
    </row>
    <row r="57" spans="1:12" ht="28.5" x14ac:dyDescent="0.2">
      <c r="B57" s="1" t="s">
        <v>384</v>
      </c>
      <c r="C57" s="1">
        <v>6</v>
      </c>
      <c r="D57" s="1" t="s">
        <v>385</v>
      </c>
      <c r="E57" s="1" t="s">
        <v>1222</v>
      </c>
      <c r="F57" s="1" t="s">
        <v>1967</v>
      </c>
      <c r="G57" s="1" t="s">
        <v>1968</v>
      </c>
      <c r="H57" s="1" t="s">
        <v>1969</v>
      </c>
      <c r="I57" s="1" t="s">
        <v>1968</v>
      </c>
      <c r="J57" s="1" t="s">
        <v>94</v>
      </c>
      <c r="K57" s="1" t="s">
        <v>1969</v>
      </c>
      <c r="L57" s="1">
        <v>440</v>
      </c>
    </row>
    <row r="58" spans="1:12" ht="42.75" x14ac:dyDescent="0.2">
      <c r="B58" s="1" t="s">
        <v>384</v>
      </c>
      <c r="C58" s="1">
        <v>6</v>
      </c>
      <c r="D58" s="1" t="s">
        <v>390</v>
      </c>
      <c r="E58" s="1" t="s">
        <v>863</v>
      </c>
      <c r="F58" s="1" t="s">
        <v>1970</v>
      </c>
      <c r="G58" s="1" t="s">
        <v>709</v>
      </c>
      <c r="H58" s="1" t="s">
        <v>1971</v>
      </c>
      <c r="I58" s="1" t="s">
        <v>863</v>
      </c>
      <c r="J58" s="1" t="s">
        <v>88</v>
      </c>
      <c r="K58" s="1" t="s">
        <v>1970</v>
      </c>
    </row>
    <row r="59" spans="1:12" ht="28.5" x14ac:dyDescent="0.2">
      <c r="B59" s="1" t="s">
        <v>384</v>
      </c>
      <c r="C59" s="1">
        <v>6</v>
      </c>
      <c r="D59" s="1" t="s">
        <v>395</v>
      </c>
      <c r="E59" s="1" t="s">
        <v>1972</v>
      </c>
      <c r="F59" s="1" t="s">
        <v>1973</v>
      </c>
      <c r="G59" s="1" t="s">
        <v>985</v>
      </c>
      <c r="H59" s="1" t="s">
        <v>1974</v>
      </c>
      <c r="I59" s="1" t="s">
        <v>985</v>
      </c>
      <c r="J59" s="1" t="s">
        <v>94</v>
      </c>
      <c r="K59" s="1" t="s">
        <v>1975</v>
      </c>
    </row>
    <row r="60" spans="1:12" ht="42.75" x14ac:dyDescent="0.2">
      <c r="B60" s="1" t="s">
        <v>384</v>
      </c>
      <c r="C60" s="1">
        <v>8</v>
      </c>
      <c r="D60" s="1" t="s">
        <v>1253</v>
      </c>
      <c r="E60" s="1" t="s">
        <v>765</v>
      </c>
      <c r="F60" s="1" t="s">
        <v>1976</v>
      </c>
      <c r="G60" s="1" t="s">
        <v>1977</v>
      </c>
      <c r="H60" s="1" t="s">
        <v>1978</v>
      </c>
      <c r="I60" s="1" t="s">
        <v>765</v>
      </c>
      <c r="J60" s="1" t="s">
        <v>94</v>
      </c>
      <c r="K60" s="1" t="s">
        <v>1976</v>
      </c>
      <c r="L60" s="1">
        <v>850</v>
      </c>
    </row>
    <row r="61" spans="1:12" ht="57" x14ac:dyDescent="0.2">
      <c r="B61" s="1" t="s">
        <v>384</v>
      </c>
      <c r="C61" s="1">
        <v>8</v>
      </c>
      <c r="D61" s="1" t="s">
        <v>1979</v>
      </c>
      <c r="E61" s="1" t="s">
        <v>1980</v>
      </c>
      <c r="F61" s="1" t="s">
        <v>1981</v>
      </c>
      <c r="G61" s="1" t="s">
        <v>1084</v>
      </c>
      <c r="H61" s="1" t="s">
        <v>1982</v>
      </c>
      <c r="I61" s="1" t="s">
        <v>1484</v>
      </c>
      <c r="J61" s="1" t="s">
        <v>94</v>
      </c>
      <c r="K61" s="1" t="s">
        <v>1983</v>
      </c>
      <c r="L61" s="1">
        <v>501</v>
      </c>
    </row>
    <row r="62" spans="1:12" ht="28.5" x14ac:dyDescent="0.2">
      <c r="B62" s="1" t="s">
        <v>384</v>
      </c>
      <c r="C62" s="1">
        <v>8</v>
      </c>
      <c r="D62" s="1" t="s">
        <v>1263</v>
      </c>
      <c r="E62" s="1" t="s">
        <v>1984</v>
      </c>
      <c r="F62" s="1" t="s">
        <v>1985</v>
      </c>
      <c r="G62" s="1" t="s">
        <v>1494</v>
      </c>
      <c r="H62" s="1" t="s">
        <v>1986</v>
      </c>
      <c r="I62" s="1" t="s">
        <v>1984</v>
      </c>
      <c r="J62" s="1" t="s">
        <v>94</v>
      </c>
      <c r="K62" s="1" t="s">
        <v>1985</v>
      </c>
      <c r="L62" s="1">
        <v>451</v>
      </c>
    </row>
    <row r="63" spans="1:12" ht="57" x14ac:dyDescent="0.2">
      <c r="B63" s="1" t="s">
        <v>384</v>
      </c>
      <c r="C63" s="1">
        <v>9</v>
      </c>
      <c r="D63" s="1" t="s">
        <v>420</v>
      </c>
      <c r="E63" s="1" t="s">
        <v>1600</v>
      </c>
      <c r="F63" s="1" t="s">
        <v>1987</v>
      </c>
      <c r="G63" s="1" t="s">
        <v>1988</v>
      </c>
      <c r="H63" s="1" t="s">
        <v>1989</v>
      </c>
      <c r="I63" s="1" t="s">
        <v>1990</v>
      </c>
      <c r="J63" s="1" t="s">
        <v>94</v>
      </c>
      <c r="K63" s="1" t="s">
        <v>1991</v>
      </c>
    </row>
    <row r="64" spans="1:12" ht="42.75" x14ac:dyDescent="0.2">
      <c r="B64" s="1" t="s">
        <v>384</v>
      </c>
      <c r="C64" s="1">
        <v>10</v>
      </c>
      <c r="D64" s="1" t="s">
        <v>1268</v>
      </c>
      <c r="E64" s="1" t="s">
        <v>1992</v>
      </c>
      <c r="F64" s="1" t="s">
        <v>1993</v>
      </c>
      <c r="G64" s="1" t="s">
        <v>1994</v>
      </c>
      <c r="H64" s="1" t="s">
        <v>1995</v>
      </c>
      <c r="I64" s="1" t="s">
        <v>1994</v>
      </c>
      <c r="J64" s="1" t="s">
        <v>94</v>
      </c>
      <c r="K64" s="1" t="s">
        <v>1996</v>
      </c>
      <c r="L64" s="1">
        <v>358</v>
      </c>
    </row>
    <row r="65" spans="1:12" ht="57" x14ac:dyDescent="0.2">
      <c r="B65" s="1" t="s">
        <v>384</v>
      </c>
      <c r="C65" s="1">
        <v>10</v>
      </c>
      <c r="D65" s="1" t="s">
        <v>415</v>
      </c>
      <c r="E65" s="1" t="s">
        <v>1997</v>
      </c>
      <c r="F65" s="1" t="s">
        <v>1998</v>
      </c>
      <c r="G65" s="1" t="s">
        <v>1913</v>
      </c>
      <c r="H65" s="1" t="s">
        <v>1999</v>
      </c>
      <c r="I65" s="1" t="s">
        <v>2000</v>
      </c>
      <c r="J65" s="1" t="s">
        <v>94</v>
      </c>
      <c r="K65" s="1" t="s">
        <v>2001</v>
      </c>
    </row>
    <row r="66" spans="1:12" ht="42.75" x14ac:dyDescent="0.2">
      <c r="B66" s="1" t="s">
        <v>425</v>
      </c>
      <c r="C66" s="1">
        <v>6</v>
      </c>
      <c r="D66" s="1" t="s">
        <v>426</v>
      </c>
      <c r="E66" s="1" t="s">
        <v>1155</v>
      </c>
      <c r="F66" s="1" t="s">
        <v>2002</v>
      </c>
      <c r="G66" s="1" t="s">
        <v>880</v>
      </c>
      <c r="H66" s="1" t="s">
        <v>2003</v>
      </c>
      <c r="I66" s="1" t="s">
        <v>880</v>
      </c>
      <c r="J66" s="1" t="s">
        <v>88</v>
      </c>
      <c r="K66" s="1" t="s">
        <v>2003</v>
      </c>
      <c r="L66" s="1">
        <v>278</v>
      </c>
    </row>
    <row r="67" spans="1:12" ht="28.5" x14ac:dyDescent="0.2">
      <c r="B67" s="1" t="s">
        <v>425</v>
      </c>
      <c r="C67" s="1">
        <v>7</v>
      </c>
      <c r="D67" s="1" t="s">
        <v>431</v>
      </c>
      <c r="E67" s="1" t="s">
        <v>2004</v>
      </c>
      <c r="F67" s="1" t="s">
        <v>2005</v>
      </c>
      <c r="G67" s="1" t="s">
        <v>1768</v>
      </c>
      <c r="H67" s="1" t="s">
        <v>2006</v>
      </c>
      <c r="I67" s="1" t="s">
        <v>1768</v>
      </c>
      <c r="J67" s="1" t="s">
        <v>88</v>
      </c>
      <c r="K67" s="1" t="s">
        <v>2006</v>
      </c>
      <c r="L67" s="1">
        <v>353</v>
      </c>
    </row>
    <row r="68" spans="1:12" ht="28.5" x14ac:dyDescent="0.2">
      <c r="B68" s="1" t="s">
        <v>425</v>
      </c>
      <c r="C68" s="1">
        <v>7</v>
      </c>
      <c r="D68" s="1" t="s">
        <v>436</v>
      </c>
      <c r="E68" s="1" t="s">
        <v>1891</v>
      </c>
      <c r="F68" s="1" t="s">
        <v>2007</v>
      </c>
      <c r="G68" s="1" t="s">
        <v>674</v>
      </c>
      <c r="H68" s="1" t="s">
        <v>2008</v>
      </c>
      <c r="I68" s="1">
        <v>339</v>
      </c>
      <c r="J68" s="1" t="s">
        <v>94</v>
      </c>
      <c r="K68" s="1" t="s">
        <v>2007</v>
      </c>
      <c r="L68" s="1">
        <v>465</v>
      </c>
    </row>
    <row r="69" spans="1:12" ht="57" x14ac:dyDescent="0.2">
      <c r="B69" s="1" t="s">
        <v>425</v>
      </c>
      <c r="C69" s="1">
        <v>9</v>
      </c>
      <c r="D69" s="1" t="s">
        <v>446</v>
      </c>
      <c r="E69" s="1" t="s">
        <v>2009</v>
      </c>
      <c r="F69" s="1" t="s">
        <v>2010</v>
      </c>
      <c r="G69" s="1" t="s">
        <v>1168</v>
      </c>
      <c r="H69" s="1" t="s">
        <v>2011</v>
      </c>
      <c r="I69" s="1" t="s">
        <v>1168</v>
      </c>
      <c r="J69" s="1" t="s">
        <v>94</v>
      </c>
      <c r="K69" s="1" t="s">
        <v>2012</v>
      </c>
      <c r="L69" s="1">
        <v>845</v>
      </c>
    </row>
    <row r="70" spans="1:12" ht="57" x14ac:dyDescent="0.2">
      <c r="A70" s="1" t="s">
        <v>2013</v>
      </c>
      <c r="B70" s="1" t="s">
        <v>425</v>
      </c>
      <c r="C70" s="1">
        <v>9</v>
      </c>
      <c r="D70" s="1" t="s">
        <v>660</v>
      </c>
      <c r="E70" s="1" t="s">
        <v>538</v>
      </c>
      <c r="F70" s="1" t="s">
        <v>2014</v>
      </c>
      <c r="G70" s="1" t="s">
        <v>1494</v>
      </c>
      <c r="H70" s="1" t="s">
        <v>2015</v>
      </c>
      <c r="I70" s="1" t="s">
        <v>538</v>
      </c>
      <c r="J70" s="1" t="s">
        <v>88</v>
      </c>
      <c r="K70" s="1" t="s">
        <v>2014</v>
      </c>
      <c r="L70" s="1">
        <v>288</v>
      </c>
    </row>
    <row r="71" spans="1:12" ht="57" x14ac:dyDescent="0.2">
      <c r="B71" s="1" t="s">
        <v>425</v>
      </c>
      <c r="C71" s="1">
        <v>9</v>
      </c>
      <c r="D71" s="1" t="s">
        <v>450</v>
      </c>
      <c r="E71" s="1" t="s">
        <v>2016</v>
      </c>
      <c r="F71" s="1" t="s">
        <v>2017</v>
      </c>
      <c r="G71" s="1" t="s">
        <v>1630</v>
      </c>
      <c r="H71" s="1" t="s">
        <v>2018</v>
      </c>
      <c r="I71" s="1" t="s">
        <v>1798</v>
      </c>
      <c r="J71" s="1" t="s">
        <v>94</v>
      </c>
      <c r="K71" s="1" t="s">
        <v>2019</v>
      </c>
      <c r="L71" s="1">
        <v>657</v>
      </c>
    </row>
    <row r="72" spans="1:12" ht="57" x14ac:dyDescent="0.2">
      <c r="B72" s="1" t="s">
        <v>425</v>
      </c>
      <c r="C72" s="1">
        <v>10</v>
      </c>
      <c r="D72" s="1" t="s">
        <v>1313</v>
      </c>
      <c r="E72" s="1" t="s">
        <v>2020</v>
      </c>
      <c r="F72" s="1" t="s">
        <v>2021</v>
      </c>
      <c r="G72" s="1" t="s">
        <v>787</v>
      </c>
      <c r="H72" s="1" t="s">
        <v>2022</v>
      </c>
      <c r="I72" s="1" t="s">
        <v>787</v>
      </c>
      <c r="J72" s="1" t="s">
        <v>94</v>
      </c>
      <c r="K72" s="1" t="s">
        <v>2022</v>
      </c>
      <c r="L72" s="1">
        <v>631</v>
      </c>
    </row>
    <row r="73" spans="1:12" ht="28.5" x14ac:dyDescent="0.2">
      <c r="B73" s="1" t="s">
        <v>455</v>
      </c>
      <c r="C73" s="1">
        <v>6</v>
      </c>
      <c r="D73" s="1" t="s">
        <v>456</v>
      </c>
      <c r="E73" s="1" t="s">
        <v>2023</v>
      </c>
      <c r="F73" s="1" t="s">
        <v>2024</v>
      </c>
      <c r="G73" s="1" t="s">
        <v>377</v>
      </c>
      <c r="H73" s="1" t="s">
        <v>2025</v>
      </c>
      <c r="I73" s="1" t="s">
        <v>377</v>
      </c>
      <c r="J73" s="1" t="s">
        <v>94</v>
      </c>
      <c r="K73" s="1" t="s">
        <v>2025</v>
      </c>
      <c r="L73" s="1">
        <v>341</v>
      </c>
    </row>
    <row r="74" spans="1:12" ht="42.75" x14ac:dyDescent="0.2">
      <c r="B74" s="1" t="s">
        <v>455</v>
      </c>
      <c r="C74" s="1">
        <v>6</v>
      </c>
      <c r="D74" s="1" t="s">
        <v>465</v>
      </c>
      <c r="E74" s="1" t="s">
        <v>251</v>
      </c>
      <c r="F74" s="1" t="s">
        <v>2026</v>
      </c>
      <c r="G74" s="1" t="s">
        <v>938</v>
      </c>
      <c r="H74" s="1" t="s">
        <v>2027</v>
      </c>
      <c r="I74" s="1" t="s">
        <v>938</v>
      </c>
      <c r="J74" s="1" t="s">
        <v>88</v>
      </c>
      <c r="K74" s="1" t="s">
        <v>2028</v>
      </c>
      <c r="L74" s="1">
        <v>254</v>
      </c>
    </row>
    <row r="75" spans="1:12" ht="57" x14ac:dyDescent="0.2">
      <c r="B75" s="1" t="s">
        <v>455</v>
      </c>
      <c r="C75" s="1">
        <v>6</v>
      </c>
      <c r="D75" s="1" t="s">
        <v>479</v>
      </c>
      <c r="E75" s="1" t="s">
        <v>1642</v>
      </c>
      <c r="F75" s="1" t="s">
        <v>2029</v>
      </c>
      <c r="G75" s="1" t="s">
        <v>1436</v>
      </c>
      <c r="H75" s="1" t="s">
        <v>2030</v>
      </c>
      <c r="I75" s="1" t="s">
        <v>1436</v>
      </c>
      <c r="J75" s="1" t="s">
        <v>94</v>
      </c>
      <c r="K75" s="1" t="s">
        <v>2030</v>
      </c>
    </row>
    <row r="76" spans="1:12" ht="42.75" x14ac:dyDescent="0.2">
      <c r="B76" s="1" t="s">
        <v>455</v>
      </c>
      <c r="C76" s="1">
        <v>8</v>
      </c>
      <c r="D76" s="1" t="s">
        <v>490</v>
      </c>
      <c r="E76" s="1" t="s">
        <v>2031</v>
      </c>
      <c r="F76" s="1" t="s">
        <v>2032</v>
      </c>
      <c r="G76" s="1" t="s">
        <v>2033</v>
      </c>
      <c r="H76" s="1" t="s">
        <v>2034</v>
      </c>
      <c r="I76" s="1" t="s">
        <v>2033</v>
      </c>
      <c r="J76" s="1" t="s">
        <v>94</v>
      </c>
      <c r="K76" s="1" t="s">
        <v>2035</v>
      </c>
      <c r="L76" s="1">
        <v>589</v>
      </c>
    </row>
    <row r="77" spans="1:12" ht="42.75" x14ac:dyDescent="0.2">
      <c r="B77" s="1" t="s">
        <v>455</v>
      </c>
      <c r="C77" s="1">
        <v>8</v>
      </c>
      <c r="D77" s="1" t="s">
        <v>2036</v>
      </c>
      <c r="E77" s="1" t="s">
        <v>658</v>
      </c>
      <c r="F77" s="1" t="s">
        <v>2037</v>
      </c>
      <c r="G77" s="1" t="s">
        <v>2038</v>
      </c>
      <c r="H77" s="1" t="s">
        <v>2039</v>
      </c>
      <c r="I77" s="1" t="s">
        <v>658</v>
      </c>
      <c r="J77" s="1" t="s">
        <v>94</v>
      </c>
      <c r="K77" s="1" t="s">
        <v>2040</v>
      </c>
      <c r="L77" s="1">
        <v>574</v>
      </c>
    </row>
    <row r="78" spans="1:12" ht="57" x14ac:dyDescent="0.2">
      <c r="B78" s="1" t="s">
        <v>455</v>
      </c>
      <c r="C78" s="1">
        <v>8</v>
      </c>
      <c r="D78" s="1" t="s">
        <v>475</v>
      </c>
      <c r="E78" s="1" t="s">
        <v>743</v>
      </c>
      <c r="F78" s="1" t="s">
        <v>2041</v>
      </c>
      <c r="G78" s="1" t="s">
        <v>898</v>
      </c>
      <c r="H78" s="1" t="s">
        <v>2042</v>
      </c>
      <c r="I78" s="1" t="s">
        <v>743</v>
      </c>
      <c r="J78" s="1" t="s">
        <v>94</v>
      </c>
      <c r="K78" s="1" t="s">
        <v>2043</v>
      </c>
      <c r="L78" s="1">
        <v>462</v>
      </c>
    </row>
    <row r="79" spans="1:12" ht="42.75" x14ac:dyDescent="0.2">
      <c r="B79" s="1" t="s">
        <v>455</v>
      </c>
      <c r="C79" s="1">
        <v>8</v>
      </c>
      <c r="D79" s="1" t="s">
        <v>470</v>
      </c>
      <c r="E79" s="1" t="s">
        <v>2044</v>
      </c>
      <c r="F79" s="1" t="s">
        <v>2045</v>
      </c>
      <c r="G79" s="1" t="s">
        <v>2046</v>
      </c>
      <c r="H79" s="1" t="s">
        <v>2047</v>
      </c>
      <c r="I79" s="1" t="s">
        <v>2044</v>
      </c>
      <c r="J79" s="1" t="s">
        <v>94</v>
      </c>
      <c r="K79" s="1" t="s">
        <v>2048</v>
      </c>
      <c r="L79" s="1">
        <v>470</v>
      </c>
    </row>
    <row r="80" spans="1:12" ht="28.5" x14ac:dyDescent="0.2">
      <c r="B80" s="1" t="s">
        <v>455</v>
      </c>
      <c r="C80" s="1">
        <v>9</v>
      </c>
      <c r="D80" s="1" t="s">
        <v>484</v>
      </c>
      <c r="E80" s="1" t="s">
        <v>2049</v>
      </c>
      <c r="F80" s="1" t="s">
        <v>2050</v>
      </c>
      <c r="G80" s="1" t="s">
        <v>2051</v>
      </c>
      <c r="H80" s="1" t="s">
        <v>2052</v>
      </c>
      <c r="I80" s="1" t="s">
        <v>2053</v>
      </c>
      <c r="J80" s="1" t="s">
        <v>94</v>
      </c>
      <c r="K80" s="1" t="s">
        <v>2054</v>
      </c>
      <c r="L80" s="1">
        <v>563</v>
      </c>
    </row>
    <row r="81" spans="2:12" ht="28.5" x14ac:dyDescent="0.2">
      <c r="B81" s="1" t="s">
        <v>455</v>
      </c>
      <c r="C81" s="1">
        <v>9</v>
      </c>
      <c r="D81" s="1" t="s">
        <v>2055</v>
      </c>
      <c r="E81" s="1" t="s">
        <v>2056</v>
      </c>
      <c r="F81" s="1" t="s">
        <v>2057</v>
      </c>
      <c r="G81" s="1" t="s">
        <v>2058</v>
      </c>
      <c r="H81" s="1" t="s">
        <v>2059</v>
      </c>
      <c r="I81" s="1" t="s">
        <v>1977</v>
      </c>
      <c r="J81" s="1" t="s">
        <v>94</v>
      </c>
      <c r="K81" s="1" t="s">
        <v>2060</v>
      </c>
      <c r="L81" s="1">
        <v>511</v>
      </c>
    </row>
    <row r="82" spans="2:12" ht="42.75" x14ac:dyDescent="0.2">
      <c r="B82" s="1" t="s">
        <v>515</v>
      </c>
      <c r="C82" s="1">
        <v>6</v>
      </c>
      <c r="D82" s="1" t="s">
        <v>516</v>
      </c>
      <c r="E82" s="1" t="s">
        <v>1297</v>
      </c>
      <c r="F82" s="1" t="s">
        <v>2061</v>
      </c>
      <c r="G82" s="1" t="s">
        <v>1431</v>
      </c>
      <c r="H82" s="1" t="s">
        <v>2062</v>
      </c>
      <c r="I82" s="1" t="s">
        <v>1297</v>
      </c>
      <c r="J82" s="1" t="s">
        <v>94</v>
      </c>
      <c r="K82" s="1" t="s">
        <v>2063</v>
      </c>
      <c r="L82" s="1">
        <v>342</v>
      </c>
    </row>
    <row r="83" spans="2:12" ht="57" x14ac:dyDescent="0.2">
      <c r="B83" s="1" t="s">
        <v>515</v>
      </c>
      <c r="C83" s="1">
        <v>10</v>
      </c>
      <c r="D83" s="1" t="s">
        <v>695</v>
      </c>
      <c r="E83" s="1" t="s">
        <v>714</v>
      </c>
      <c r="F83" s="1" t="s">
        <v>2064</v>
      </c>
      <c r="G83" s="1" t="s">
        <v>734</v>
      </c>
      <c r="H83" s="1" t="s">
        <v>2065</v>
      </c>
      <c r="I83" s="1" t="s">
        <v>714</v>
      </c>
      <c r="J83" s="1" t="s">
        <v>94</v>
      </c>
      <c r="K83" s="1" t="s">
        <v>2064</v>
      </c>
      <c r="L83" s="1">
        <v>628</v>
      </c>
    </row>
    <row r="84" spans="2:12" ht="57" x14ac:dyDescent="0.2">
      <c r="B84" s="1" t="s">
        <v>515</v>
      </c>
      <c r="C84" s="1">
        <v>8</v>
      </c>
      <c r="D84" s="1" t="s">
        <v>537</v>
      </c>
      <c r="E84" s="1" t="s">
        <v>1259</v>
      </c>
      <c r="F84" s="1" t="s">
        <v>2066</v>
      </c>
      <c r="G84" s="1" t="s">
        <v>2067</v>
      </c>
      <c r="H84" s="1" t="s">
        <v>2068</v>
      </c>
      <c r="I84" s="1" t="s">
        <v>1259</v>
      </c>
      <c r="J84" s="1" t="s">
        <v>94</v>
      </c>
      <c r="K84" s="1" t="s">
        <v>2066</v>
      </c>
      <c r="L84" s="1">
        <v>479</v>
      </c>
    </row>
    <row r="85" spans="2:12" ht="57" x14ac:dyDescent="0.2">
      <c r="B85" s="1" t="s">
        <v>515</v>
      </c>
      <c r="C85" s="1">
        <v>8</v>
      </c>
      <c r="D85" s="1" t="s">
        <v>522</v>
      </c>
      <c r="E85" s="1" t="s">
        <v>2069</v>
      </c>
      <c r="F85" s="1" t="s">
        <v>2070</v>
      </c>
      <c r="G85" s="1" t="s">
        <v>309</v>
      </c>
      <c r="H85" s="1" t="s">
        <v>2071</v>
      </c>
      <c r="I85" s="1" t="s">
        <v>2069</v>
      </c>
      <c r="J85" s="1" t="s">
        <v>94</v>
      </c>
      <c r="K85" s="1" t="s">
        <v>2072</v>
      </c>
      <c r="L85" s="1">
        <v>521</v>
      </c>
    </row>
    <row r="86" spans="2:12" ht="42.75" x14ac:dyDescent="0.2">
      <c r="B86" s="1" t="s">
        <v>515</v>
      </c>
      <c r="C86" s="1">
        <v>8</v>
      </c>
      <c r="D86" s="1" t="s">
        <v>532</v>
      </c>
      <c r="E86" s="1" t="s">
        <v>2073</v>
      </c>
      <c r="F86" s="1" t="s">
        <v>2074</v>
      </c>
      <c r="G86" s="1" t="s">
        <v>1821</v>
      </c>
      <c r="H86" s="1" t="s">
        <v>2075</v>
      </c>
      <c r="I86" s="1" t="s">
        <v>1821</v>
      </c>
      <c r="J86" s="1" t="s">
        <v>94</v>
      </c>
      <c r="K86" s="1" t="s">
        <v>2075</v>
      </c>
    </row>
    <row r="87" spans="2:12" ht="42.75" x14ac:dyDescent="0.2">
      <c r="B87" s="1" t="s">
        <v>515</v>
      </c>
      <c r="C87" s="1">
        <v>9</v>
      </c>
      <c r="D87" s="1" t="s">
        <v>1376</v>
      </c>
      <c r="E87" s="1" t="s">
        <v>403</v>
      </c>
      <c r="F87" s="1" t="s">
        <v>2076</v>
      </c>
      <c r="G87" s="1" t="s">
        <v>905</v>
      </c>
      <c r="H87" s="1" t="s">
        <v>2077</v>
      </c>
      <c r="I87" s="1" t="s">
        <v>905</v>
      </c>
      <c r="J87" s="1" t="s">
        <v>94</v>
      </c>
      <c r="K87" s="1" t="s">
        <v>2078</v>
      </c>
      <c r="L87" s="1">
        <v>597</v>
      </c>
    </row>
    <row r="88" spans="2:12" ht="57" x14ac:dyDescent="0.2">
      <c r="B88" s="1" t="s">
        <v>515</v>
      </c>
      <c r="C88" s="1">
        <v>9</v>
      </c>
      <c r="D88" s="1" t="s">
        <v>542</v>
      </c>
      <c r="E88" s="1" t="s">
        <v>2079</v>
      </c>
      <c r="F88" s="1" t="s">
        <v>2080</v>
      </c>
      <c r="G88" s="1" t="s">
        <v>2081</v>
      </c>
      <c r="H88" s="1" t="s">
        <v>2082</v>
      </c>
      <c r="I88" s="1" t="s">
        <v>2079</v>
      </c>
      <c r="J88" s="1" t="s">
        <v>94</v>
      </c>
      <c r="K88" s="1" t="s">
        <v>2083</v>
      </c>
    </row>
    <row r="89" spans="2:12" ht="42.75" x14ac:dyDescent="0.2">
      <c r="B89" s="1" t="s">
        <v>515</v>
      </c>
      <c r="C89" s="1">
        <v>9</v>
      </c>
      <c r="D89" s="1" t="s">
        <v>546</v>
      </c>
      <c r="E89" s="1" t="s">
        <v>221</v>
      </c>
      <c r="F89" s="1" t="s">
        <v>2084</v>
      </c>
      <c r="G89" s="1" t="s">
        <v>2085</v>
      </c>
      <c r="H89" s="1" t="s">
        <v>2086</v>
      </c>
      <c r="I89" s="1" t="s">
        <v>221</v>
      </c>
      <c r="J89" s="1" t="s">
        <v>94</v>
      </c>
      <c r="K89" s="1" t="s">
        <v>2087</v>
      </c>
    </row>
    <row r="90" spans="2:12" ht="28.5" x14ac:dyDescent="0.2">
      <c r="B90" s="1" t="s">
        <v>551</v>
      </c>
      <c r="C90" s="1">
        <v>6</v>
      </c>
      <c r="D90" s="1" t="s">
        <v>2088</v>
      </c>
      <c r="E90" s="1" t="s">
        <v>2089</v>
      </c>
      <c r="F90" s="1" t="s">
        <v>2090</v>
      </c>
      <c r="G90" s="1" t="s">
        <v>1329</v>
      </c>
      <c r="H90" s="1" t="s">
        <v>2091</v>
      </c>
      <c r="I90" s="1" t="s">
        <v>1329</v>
      </c>
      <c r="J90" s="1" t="s">
        <v>88</v>
      </c>
      <c r="K90" s="1" t="s">
        <v>2092</v>
      </c>
      <c r="L90" s="1">
        <v>318</v>
      </c>
    </row>
    <row r="91" spans="2:12" ht="42.75" x14ac:dyDescent="0.2">
      <c r="B91" s="1" t="s">
        <v>551</v>
      </c>
      <c r="C91" s="1">
        <v>6</v>
      </c>
      <c r="D91" s="1" t="s">
        <v>2093</v>
      </c>
      <c r="E91" s="1" t="s">
        <v>2094</v>
      </c>
      <c r="F91" s="1" t="s">
        <v>2095</v>
      </c>
      <c r="G91" s="1" t="s">
        <v>152</v>
      </c>
      <c r="H91" s="1" t="s">
        <v>2096</v>
      </c>
      <c r="I91" s="1" t="s">
        <v>152</v>
      </c>
      <c r="J91" s="1" t="s">
        <v>94</v>
      </c>
      <c r="K91" s="1" t="s">
        <v>2097</v>
      </c>
      <c r="L91" s="1">
        <v>321</v>
      </c>
    </row>
    <row r="92" spans="2:12" ht="42.75" x14ac:dyDescent="0.2">
      <c r="B92" s="1" t="s">
        <v>551</v>
      </c>
      <c r="C92" s="1">
        <v>8</v>
      </c>
      <c r="D92" s="1" t="s">
        <v>564</v>
      </c>
      <c r="E92" s="1" t="s">
        <v>2098</v>
      </c>
      <c r="F92" s="1" t="s">
        <v>2099</v>
      </c>
      <c r="G92" s="1" t="s">
        <v>2100</v>
      </c>
      <c r="H92" s="1" t="s">
        <v>2101</v>
      </c>
      <c r="I92" s="1" t="s">
        <v>2100</v>
      </c>
      <c r="J92" s="1" t="s">
        <v>94</v>
      </c>
      <c r="K92" s="1" t="s">
        <v>2101</v>
      </c>
      <c r="L92" s="1">
        <v>493</v>
      </c>
    </row>
    <row r="93" spans="2:12" ht="57" x14ac:dyDescent="0.2">
      <c r="B93" s="1" t="s">
        <v>551</v>
      </c>
      <c r="C93" s="1">
        <v>8</v>
      </c>
      <c r="D93" s="1" t="s">
        <v>1401</v>
      </c>
      <c r="E93" s="1" t="s">
        <v>1186</v>
      </c>
      <c r="F93" s="1" t="s">
        <v>2102</v>
      </c>
      <c r="G93" s="1" t="s">
        <v>2103</v>
      </c>
      <c r="H93" s="1" t="s">
        <v>2104</v>
      </c>
      <c r="I93" s="1" t="s">
        <v>1186</v>
      </c>
      <c r="J93" s="1" t="s">
        <v>94</v>
      </c>
      <c r="K93" s="1" t="s">
        <v>2102</v>
      </c>
      <c r="L93" s="1">
        <v>410</v>
      </c>
    </row>
    <row r="94" spans="2:12" ht="42.75" x14ac:dyDescent="0.2">
      <c r="B94" s="1" t="s">
        <v>551</v>
      </c>
      <c r="C94" s="1">
        <v>8</v>
      </c>
      <c r="D94" s="1" t="s">
        <v>557</v>
      </c>
      <c r="E94" s="1" t="s">
        <v>293</v>
      </c>
      <c r="F94" s="1" t="s">
        <v>2105</v>
      </c>
      <c r="G94" s="1" t="s">
        <v>2106</v>
      </c>
      <c r="H94" s="1" t="s">
        <v>2107</v>
      </c>
      <c r="I94" s="1" t="s">
        <v>2069</v>
      </c>
      <c r="J94" s="1" t="s">
        <v>94</v>
      </c>
      <c r="K94" s="1" t="s">
        <v>2108</v>
      </c>
      <c r="L94" s="1">
        <v>428</v>
      </c>
    </row>
    <row r="95" spans="2:12" ht="42.75" x14ac:dyDescent="0.2">
      <c r="B95" s="1" t="s">
        <v>569</v>
      </c>
      <c r="C95" s="1">
        <v>6</v>
      </c>
      <c r="D95" s="1" t="s">
        <v>570</v>
      </c>
      <c r="E95" s="1" t="s">
        <v>2109</v>
      </c>
      <c r="F95" s="1" t="s">
        <v>2110</v>
      </c>
      <c r="G95" s="1" t="s">
        <v>2111</v>
      </c>
      <c r="H95" s="1" t="s">
        <v>2112</v>
      </c>
      <c r="I95" s="1" t="s">
        <v>2111</v>
      </c>
      <c r="J95" s="1" t="s">
        <v>1936</v>
      </c>
      <c r="K95" s="1" t="s">
        <v>2112</v>
      </c>
      <c r="L95" s="1">
        <v>228</v>
      </c>
    </row>
    <row r="96" spans="2:12" ht="42.75" x14ac:dyDescent="0.2">
      <c r="B96" s="1" t="s">
        <v>569</v>
      </c>
      <c r="C96" s="1">
        <v>9</v>
      </c>
      <c r="D96" s="1" t="s">
        <v>1412</v>
      </c>
      <c r="E96" s="1" t="s">
        <v>977</v>
      </c>
      <c r="F96" s="1" t="s">
        <v>2113</v>
      </c>
      <c r="G96" s="1" t="s">
        <v>1684</v>
      </c>
      <c r="H96" s="1" t="s">
        <v>2114</v>
      </c>
      <c r="I96" s="1" t="s">
        <v>1684</v>
      </c>
      <c r="J96" s="1" t="s">
        <v>94</v>
      </c>
      <c r="K96" s="1" t="s">
        <v>2115</v>
      </c>
      <c r="L96" s="1">
        <v>493</v>
      </c>
    </row>
    <row r="97" spans="2:12" ht="57" x14ac:dyDescent="0.2">
      <c r="B97" s="1" t="s">
        <v>569</v>
      </c>
      <c r="C97" s="1">
        <v>9</v>
      </c>
      <c r="D97" s="1" t="s">
        <v>575</v>
      </c>
      <c r="E97" s="1" t="s">
        <v>2116</v>
      </c>
      <c r="F97" s="1" t="s">
        <v>2117</v>
      </c>
      <c r="G97" s="1">
        <v>0</v>
      </c>
      <c r="H97" s="1">
        <v>0</v>
      </c>
      <c r="I97" s="1" t="s">
        <v>2116</v>
      </c>
      <c r="J97" s="1" t="s">
        <v>94</v>
      </c>
      <c r="K97" s="1" t="s">
        <v>2118</v>
      </c>
      <c r="L97" s="1">
        <v>674</v>
      </c>
    </row>
    <row r="98" spans="2:12" ht="42.75" x14ac:dyDescent="0.2">
      <c r="B98" s="1" t="s">
        <v>569</v>
      </c>
      <c r="C98" s="1">
        <v>10</v>
      </c>
      <c r="D98" s="1" t="s">
        <v>1416</v>
      </c>
      <c r="E98" s="1" t="s">
        <v>2119</v>
      </c>
      <c r="F98" s="1" t="s">
        <v>2120</v>
      </c>
      <c r="G98" s="1" t="s">
        <v>2121</v>
      </c>
      <c r="H98" s="1" t="s">
        <v>2122</v>
      </c>
      <c r="I98" s="1" t="s">
        <v>2123</v>
      </c>
      <c r="J98" s="1" t="s">
        <v>94</v>
      </c>
      <c r="K98" s="1" t="s">
        <v>2124</v>
      </c>
      <c r="L98" s="1">
        <v>652</v>
      </c>
    </row>
    <row r="99" spans="2:12" ht="28.5" x14ac:dyDescent="0.2">
      <c r="B99" s="1" t="s">
        <v>581</v>
      </c>
      <c r="C99" s="1">
        <v>6</v>
      </c>
      <c r="D99" s="1" t="s">
        <v>2125</v>
      </c>
      <c r="E99" s="1" t="s">
        <v>396</v>
      </c>
      <c r="F99" s="1" t="s">
        <v>2126</v>
      </c>
      <c r="G99" s="1" t="s">
        <v>592</v>
      </c>
      <c r="H99" s="1" t="s">
        <v>2127</v>
      </c>
      <c r="I99" s="1" t="s">
        <v>396</v>
      </c>
      <c r="J99" s="1" t="s">
        <v>88</v>
      </c>
      <c r="K99" s="1" t="s">
        <v>2128</v>
      </c>
      <c r="L99" s="1">
        <v>302</v>
      </c>
    </row>
    <row r="100" spans="2:12" ht="42.75" x14ac:dyDescent="0.2">
      <c r="B100" s="1" t="s">
        <v>581</v>
      </c>
      <c r="C100" s="1">
        <v>6</v>
      </c>
      <c r="D100" s="1" t="s">
        <v>582</v>
      </c>
      <c r="E100" s="1" t="s">
        <v>1030</v>
      </c>
      <c r="F100" s="1" t="s">
        <v>2129</v>
      </c>
      <c r="G100" s="1" t="s">
        <v>740</v>
      </c>
      <c r="H100" s="1" t="s">
        <v>2130</v>
      </c>
      <c r="I100" s="1" t="s">
        <v>1012</v>
      </c>
      <c r="J100" s="1" t="s">
        <v>88</v>
      </c>
      <c r="K100" s="1" t="s">
        <v>2131</v>
      </c>
      <c r="L100" s="1">
        <v>239</v>
      </c>
    </row>
    <row r="101" spans="2:12" ht="42.75" x14ac:dyDescent="0.2">
      <c r="B101" s="1" t="s">
        <v>581</v>
      </c>
      <c r="C101" s="1">
        <v>6</v>
      </c>
      <c r="D101" s="1" t="s">
        <v>2132</v>
      </c>
      <c r="E101" s="1" t="s">
        <v>863</v>
      </c>
      <c r="F101" s="1" t="s">
        <v>2133</v>
      </c>
      <c r="G101" s="1" t="s">
        <v>1708</v>
      </c>
      <c r="H101" s="1" t="s">
        <v>2134</v>
      </c>
      <c r="I101" s="1" t="s">
        <v>863</v>
      </c>
      <c r="J101" s="1" t="s">
        <v>94</v>
      </c>
      <c r="K101" s="1" t="s">
        <v>2135</v>
      </c>
      <c r="L101" s="1">
        <v>373</v>
      </c>
    </row>
    <row r="102" spans="2:12" ht="42.75" x14ac:dyDescent="0.2">
      <c r="B102" s="1" t="s">
        <v>581</v>
      </c>
      <c r="C102" s="1">
        <v>6</v>
      </c>
      <c r="D102" s="1" t="s">
        <v>2136</v>
      </c>
      <c r="E102" s="1" t="s">
        <v>2137</v>
      </c>
      <c r="F102" s="1" t="s">
        <v>2138</v>
      </c>
      <c r="G102" s="1" t="s">
        <v>1074</v>
      </c>
      <c r="H102" s="1" t="s">
        <v>2139</v>
      </c>
      <c r="I102" s="1" t="s">
        <v>2137</v>
      </c>
      <c r="J102" s="1" t="s">
        <v>94</v>
      </c>
      <c r="K102" s="1" t="s">
        <v>2140</v>
      </c>
      <c r="L102" s="1">
        <v>326</v>
      </c>
    </row>
    <row r="103" spans="2:12" ht="28.5" x14ac:dyDescent="0.2">
      <c r="B103" s="1" t="s">
        <v>581</v>
      </c>
      <c r="C103" s="1">
        <v>7</v>
      </c>
      <c r="D103" s="1" t="s">
        <v>594</v>
      </c>
      <c r="E103" s="1" t="s">
        <v>2141</v>
      </c>
      <c r="F103" s="1" t="s">
        <v>2142</v>
      </c>
      <c r="G103" s="1" t="s">
        <v>1494</v>
      </c>
      <c r="H103" s="1" t="s">
        <v>2142</v>
      </c>
      <c r="I103" s="1" t="s">
        <v>2141</v>
      </c>
      <c r="J103" s="1" t="s">
        <v>94</v>
      </c>
      <c r="K103" s="1" t="s">
        <v>2142</v>
      </c>
      <c r="L103" s="1">
        <v>334</v>
      </c>
    </row>
    <row r="104" spans="2:12" ht="42.75" x14ac:dyDescent="0.2">
      <c r="B104" s="1" t="s">
        <v>581</v>
      </c>
      <c r="C104" s="1">
        <v>7</v>
      </c>
      <c r="D104" s="1" t="s">
        <v>1423</v>
      </c>
      <c r="E104" s="1" t="s">
        <v>2143</v>
      </c>
      <c r="F104" s="1" t="s">
        <v>2144</v>
      </c>
      <c r="G104" s="1" t="s">
        <v>1507</v>
      </c>
      <c r="H104" s="1" t="s">
        <v>2145</v>
      </c>
      <c r="I104" s="1" t="s">
        <v>2143</v>
      </c>
      <c r="J104" s="1" t="s">
        <v>1936</v>
      </c>
      <c r="K104" s="1" t="s">
        <v>2146</v>
      </c>
      <c r="L104" s="1">
        <v>337</v>
      </c>
    </row>
    <row r="105" spans="2:12" ht="42.75" x14ac:dyDescent="0.2">
      <c r="B105" s="1" t="s">
        <v>581</v>
      </c>
      <c r="C105" s="1">
        <v>7</v>
      </c>
      <c r="D105" s="1" t="s">
        <v>589</v>
      </c>
      <c r="E105" s="1" t="s">
        <v>189</v>
      </c>
      <c r="F105" s="1" t="s">
        <v>2147</v>
      </c>
      <c r="G105" s="1" t="s">
        <v>1382</v>
      </c>
      <c r="H105" s="1" t="s">
        <v>2148</v>
      </c>
      <c r="I105" s="1" t="s">
        <v>1382</v>
      </c>
      <c r="J105" s="1" t="s">
        <v>94</v>
      </c>
      <c r="K105" s="1" t="s">
        <v>2148</v>
      </c>
      <c r="L105" s="1">
        <v>417</v>
      </c>
    </row>
    <row r="106" spans="2:12" ht="42.75" x14ac:dyDescent="0.2">
      <c r="B106" s="1" t="s">
        <v>581</v>
      </c>
      <c r="C106" s="1">
        <v>7</v>
      </c>
      <c r="D106" s="1" t="s">
        <v>1440</v>
      </c>
      <c r="E106" s="1" t="s">
        <v>2149</v>
      </c>
      <c r="F106" s="1" t="s">
        <v>2150</v>
      </c>
      <c r="G106" s="1" t="s">
        <v>2151</v>
      </c>
      <c r="H106" s="1" t="s">
        <v>2152</v>
      </c>
      <c r="I106" s="1" t="s">
        <v>2149</v>
      </c>
      <c r="J106" s="1" t="s">
        <v>94</v>
      </c>
      <c r="K106" s="1" t="s">
        <v>2153</v>
      </c>
      <c r="L106" s="1">
        <v>1007</v>
      </c>
    </row>
    <row r="107" spans="2:12" ht="42.75" x14ac:dyDescent="0.2">
      <c r="B107" s="1" t="s">
        <v>581</v>
      </c>
      <c r="C107" s="1">
        <v>8</v>
      </c>
      <c r="D107" s="1" t="s">
        <v>603</v>
      </c>
      <c r="E107" s="1" t="s">
        <v>1880</v>
      </c>
      <c r="F107" s="1" t="s">
        <v>2154</v>
      </c>
      <c r="G107" s="1" t="s">
        <v>2155</v>
      </c>
      <c r="H107" s="1" t="s">
        <v>2156</v>
      </c>
      <c r="I107" s="1" t="s">
        <v>2155</v>
      </c>
      <c r="J107" s="1" t="s">
        <v>94</v>
      </c>
      <c r="K107" s="1" t="s">
        <v>2156</v>
      </c>
      <c r="L107" s="1">
        <v>465</v>
      </c>
    </row>
    <row r="108" spans="2:12" ht="42.75" x14ac:dyDescent="0.2">
      <c r="B108" s="1" t="s">
        <v>581</v>
      </c>
      <c r="C108" s="1">
        <v>10</v>
      </c>
      <c r="D108" s="1" t="s">
        <v>1446</v>
      </c>
      <c r="E108" s="1" t="s">
        <v>2157</v>
      </c>
      <c r="F108" s="1" t="s">
        <v>2158</v>
      </c>
      <c r="G108" s="1" t="s">
        <v>2159</v>
      </c>
      <c r="H108" s="1" t="s">
        <v>2160</v>
      </c>
      <c r="I108" s="1" t="s">
        <v>2159</v>
      </c>
      <c r="J108" s="1" t="s">
        <v>94</v>
      </c>
      <c r="K108" s="1" t="s">
        <v>2160</v>
      </c>
      <c r="L108" s="1">
        <v>568</v>
      </c>
    </row>
    <row r="109" spans="2:12" ht="42.75" x14ac:dyDescent="0.2">
      <c r="B109" s="1" t="s">
        <v>581</v>
      </c>
      <c r="C109" s="1">
        <v>10</v>
      </c>
      <c r="D109" s="1" t="s">
        <v>608</v>
      </c>
      <c r="E109" s="1" t="s">
        <v>342</v>
      </c>
      <c r="F109" s="1" t="s">
        <v>2161</v>
      </c>
      <c r="G109" s="1" t="s">
        <v>2162</v>
      </c>
      <c r="H109" s="1" t="s">
        <v>2163</v>
      </c>
      <c r="I109" s="1" t="s">
        <v>342</v>
      </c>
      <c r="J109" s="1" t="s">
        <v>94</v>
      </c>
      <c r="K109" s="1" t="s">
        <v>2164</v>
      </c>
    </row>
    <row r="110" spans="2:12" ht="57" x14ac:dyDescent="0.2">
      <c r="B110" s="1" t="s">
        <v>581</v>
      </c>
      <c r="C110" s="1">
        <v>10</v>
      </c>
      <c r="D110" s="1" t="s">
        <v>613</v>
      </c>
      <c r="E110" s="1" t="s">
        <v>2165</v>
      </c>
      <c r="F110" s="1" t="s">
        <v>2166</v>
      </c>
      <c r="G110" s="1" t="s">
        <v>2167</v>
      </c>
      <c r="H110" s="1" t="s">
        <v>2168</v>
      </c>
      <c r="I110" s="1" t="s">
        <v>2167</v>
      </c>
      <c r="J110" s="1" t="s">
        <v>94</v>
      </c>
      <c r="K110" s="1" t="s">
        <v>2169</v>
      </c>
    </row>
    <row r="111" spans="2:12" ht="28.5" x14ac:dyDescent="0.2">
      <c r="B111" s="1" t="s">
        <v>618</v>
      </c>
      <c r="C111" s="1">
        <v>6</v>
      </c>
      <c r="D111" s="1" t="s">
        <v>2170</v>
      </c>
      <c r="E111" s="1" t="s">
        <v>1616</v>
      </c>
      <c r="F111" s="1" t="s">
        <v>2171</v>
      </c>
      <c r="G111" s="1" t="s">
        <v>938</v>
      </c>
      <c r="H111" s="1" t="s">
        <v>2172</v>
      </c>
      <c r="I111" s="1" t="s">
        <v>1616</v>
      </c>
      <c r="J111" s="1" t="s">
        <v>1936</v>
      </c>
      <c r="K111" s="1" t="s">
        <v>2173</v>
      </c>
      <c r="L111" s="1">
        <v>273</v>
      </c>
    </row>
    <row r="112" spans="2:12" ht="28.5" x14ac:dyDescent="0.2">
      <c r="B112" s="1" t="s">
        <v>618</v>
      </c>
      <c r="C112" s="1">
        <v>6</v>
      </c>
      <c r="D112" s="1" t="s">
        <v>619</v>
      </c>
      <c r="E112" s="1" t="s">
        <v>2174</v>
      </c>
      <c r="F112" s="1" t="s">
        <v>2175</v>
      </c>
      <c r="G112" s="1" t="s">
        <v>347</v>
      </c>
      <c r="H112" s="1" t="s">
        <v>2176</v>
      </c>
      <c r="I112" s="1" t="s">
        <v>347</v>
      </c>
      <c r="J112" s="1" t="s">
        <v>88</v>
      </c>
      <c r="K112" s="1" t="s">
        <v>2176</v>
      </c>
      <c r="L112" s="1">
        <v>374</v>
      </c>
    </row>
    <row r="113" spans="2:12" ht="28.5" x14ac:dyDescent="0.2">
      <c r="B113" s="1" t="s">
        <v>618</v>
      </c>
      <c r="C113" s="1">
        <v>7</v>
      </c>
      <c r="D113" s="1" t="s">
        <v>624</v>
      </c>
      <c r="E113" s="1" t="s">
        <v>235</v>
      </c>
      <c r="F113" s="1" t="s">
        <v>2177</v>
      </c>
      <c r="G113" s="1" t="s">
        <v>473</v>
      </c>
      <c r="H113" s="1" t="s">
        <v>2178</v>
      </c>
      <c r="I113" s="1" t="s">
        <v>235</v>
      </c>
      <c r="J113" s="1" t="s">
        <v>94</v>
      </c>
      <c r="K113" s="1" t="s">
        <v>2177</v>
      </c>
      <c r="L113" s="1">
        <v>314</v>
      </c>
    </row>
    <row r="114" spans="2:12" ht="42.75" x14ac:dyDescent="0.2">
      <c r="B114" s="1" t="s">
        <v>618</v>
      </c>
      <c r="C114" s="1">
        <v>7</v>
      </c>
      <c r="D114" s="1" t="s">
        <v>634</v>
      </c>
      <c r="E114" s="1" t="s">
        <v>2179</v>
      </c>
      <c r="F114" s="1" t="s">
        <v>2180</v>
      </c>
      <c r="G114" s="1" t="s">
        <v>2181</v>
      </c>
      <c r="H114" s="1" t="s">
        <v>2182</v>
      </c>
      <c r="I114" s="1" t="s">
        <v>2181</v>
      </c>
      <c r="J114" s="1" t="s">
        <v>94</v>
      </c>
      <c r="K114" s="1" t="s">
        <v>2182</v>
      </c>
    </row>
    <row r="115" spans="2:12" ht="57" x14ac:dyDescent="0.2">
      <c r="B115" s="1" t="s">
        <v>618</v>
      </c>
      <c r="C115" s="1">
        <v>9</v>
      </c>
      <c r="D115" s="1" t="s">
        <v>643</v>
      </c>
      <c r="E115" s="1" t="s">
        <v>2183</v>
      </c>
      <c r="F115" s="1" t="s">
        <v>2184</v>
      </c>
      <c r="G115" s="1" t="s">
        <v>2185</v>
      </c>
      <c r="H115" s="1" t="s">
        <v>2186</v>
      </c>
      <c r="I115" s="1" t="s">
        <v>1259</v>
      </c>
      <c r="J115" s="1" t="s">
        <v>94</v>
      </c>
      <c r="K115" s="1" t="s">
        <v>2187</v>
      </c>
    </row>
    <row r="116" spans="2:12" ht="57" x14ac:dyDescent="0.2">
      <c r="B116" s="1" t="s">
        <v>618</v>
      </c>
      <c r="C116" s="1">
        <v>10</v>
      </c>
      <c r="D116" s="1" t="s">
        <v>638</v>
      </c>
      <c r="E116" s="1" t="s">
        <v>2188</v>
      </c>
      <c r="F116" s="1" t="s">
        <v>2189</v>
      </c>
      <c r="G116" s="1" t="s">
        <v>2190</v>
      </c>
      <c r="H116" s="1" t="s">
        <v>2191</v>
      </c>
      <c r="I116" s="1" t="s">
        <v>2192</v>
      </c>
      <c r="J116" s="1" t="s">
        <v>94</v>
      </c>
      <c r="K116" s="1" t="s">
        <v>2193</v>
      </c>
      <c r="L116" s="1">
        <v>733</v>
      </c>
    </row>
    <row r="117" spans="2:12" ht="42.75" x14ac:dyDescent="0.2">
      <c r="B117" s="1" t="s">
        <v>506</v>
      </c>
      <c r="C117" s="1">
        <v>6</v>
      </c>
      <c r="D117" s="1" t="s">
        <v>2194</v>
      </c>
      <c r="E117" s="1" t="s">
        <v>565</v>
      </c>
      <c r="F117" s="1" t="s">
        <v>2195</v>
      </c>
      <c r="G117" s="1" t="s">
        <v>1702</v>
      </c>
      <c r="H117" s="1" t="s">
        <v>2196</v>
      </c>
      <c r="I117" s="1" t="s">
        <v>1702</v>
      </c>
      <c r="J117" s="1" t="s">
        <v>88</v>
      </c>
      <c r="K117" s="1" t="s">
        <v>2196</v>
      </c>
      <c r="L117" s="1">
        <v>251</v>
      </c>
    </row>
    <row r="118" spans="2:12" ht="42.75" x14ac:dyDescent="0.2">
      <c r="B118" s="1" t="s">
        <v>506</v>
      </c>
      <c r="C118" s="1">
        <v>6</v>
      </c>
      <c r="D118" s="1" t="s">
        <v>2197</v>
      </c>
      <c r="E118" s="1" t="s">
        <v>1639</v>
      </c>
      <c r="F118" s="1" t="s">
        <v>2198</v>
      </c>
      <c r="G118" s="1" t="s">
        <v>1531</v>
      </c>
      <c r="H118" s="1" t="s">
        <v>2199</v>
      </c>
      <c r="I118" s="1" t="s">
        <v>1639</v>
      </c>
      <c r="J118" s="1" t="s">
        <v>88</v>
      </c>
      <c r="K118" s="1" t="s">
        <v>2198</v>
      </c>
      <c r="L118" s="1">
        <v>372</v>
      </c>
    </row>
    <row r="119" spans="2:12" ht="42.75" x14ac:dyDescent="0.2">
      <c r="B119" s="1" t="s">
        <v>506</v>
      </c>
      <c r="C119" s="1">
        <v>6</v>
      </c>
      <c r="D119" s="1" t="s">
        <v>2200</v>
      </c>
      <c r="E119" s="1" t="s">
        <v>2201</v>
      </c>
      <c r="F119" s="1" t="s">
        <v>2202</v>
      </c>
      <c r="G119" s="1" t="s">
        <v>938</v>
      </c>
      <c r="H119" s="1" t="s">
        <v>2203</v>
      </c>
      <c r="I119" s="1" t="s">
        <v>2201</v>
      </c>
      <c r="J119" s="1" t="s">
        <v>88</v>
      </c>
      <c r="K119" s="1" t="s">
        <v>2202</v>
      </c>
      <c r="L119" s="1">
        <v>370</v>
      </c>
    </row>
    <row r="120" spans="2:12" ht="42.75" x14ac:dyDescent="0.2">
      <c r="B120" s="1" t="s">
        <v>506</v>
      </c>
      <c r="C120" s="1">
        <v>8</v>
      </c>
      <c r="D120" s="1" t="s">
        <v>672</v>
      </c>
      <c r="E120" s="1" t="s">
        <v>1239</v>
      </c>
      <c r="F120" s="1" t="s">
        <v>2204</v>
      </c>
      <c r="G120" s="1" t="s">
        <v>297</v>
      </c>
      <c r="H120" s="1" t="s">
        <v>2205</v>
      </c>
      <c r="I120" s="1" t="s">
        <v>297</v>
      </c>
      <c r="J120" s="1" t="s">
        <v>94</v>
      </c>
      <c r="K120" s="1" t="s">
        <v>2206</v>
      </c>
      <c r="L120" s="1">
        <v>549</v>
      </c>
    </row>
    <row r="121" spans="2:12" ht="28.5" x14ac:dyDescent="0.2">
      <c r="B121" s="1" t="s">
        <v>506</v>
      </c>
      <c r="C121" s="1">
        <v>9</v>
      </c>
      <c r="D121" s="1" t="s">
        <v>676</v>
      </c>
      <c r="E121" s="1" t="s">
        <v>1832</v>
      </c>
      <c r="F121" s="1" t="s">
        <v>2207</v>
      </c>
      <c r="G121" s="1" t="s">
        <v>801</v>
      </c>
      <c r="H121" s="1" t="s">
        <v>2208</v>
      </c>
      <c r="I121" s="1" t="s">
        <v>801</v>
      </c>
      <c r="J121" s="1" t="s">
        <v>94</v>
      </c>
      <c r="K121" s="1" t="s">
        <v>2208</v>
      </c>
      <c r="L121" s="1">
        <v>413</v>
      </c>
    </row>
    <row r="122" spans="2:12" ht="28.5" x14ac:dyDescent="0.2">
      <c r="B122" s="1" t="s">
        <v>681</v>
      </c>
      <c r="C122" s="1">
        <v>7</v>
      </c>
      <c r="D122" s="1" t="s">
        <v>682</v>
      </c>
      <c r="E122" s="1" t="s">
        <v>2209</v>
      </c>
      <c r="F122" s="1" t="s">
        <v>2210</v>
      </c>
      <c r="G122" s="1" t="s">
        <v>2211</v>
      </c>
      <c r="H122" s="1" t="s">
        <v>2212</v>
      </c>
      <c r="I122" s="1" t="s">
        <v>2211</v>
      </c>
      <c r="J122" s="1" t="s">
        <v>88</v>
      </c>
      <c r="K122" s="1" t="s">
        <v>2212</v>
      </c>
      <c r="L122" s="1">
        <v>469</v>
      </c>
    </row>
    <row r="123" spans="2:12" ht="28.5" x14ac:dyDescent="0.2">
      <c r="B123" s="1" t="s">
        <v>681</v>
      </c>
      <c r="C123" s="1">
        <v>8</v>
      </c>
      <c r="D123" s="1" t="s">
        <v>1496</v>
      </c>
      <c r="E123" s="1" t="s">
        <v>2213</v>
      </c>
      <c r="F123" s="1" t="s">
        <v>2214</v>
      </c>
      <c r="G123" s="1" t="s">
        <v>1639</v>
      </c>
      <c r="H123" s="1" t="s">
        <v>2215</v>
      </c>
      <c r="I123" s="1" t="s">
        <v>2213</v>
      </c>
      <c r="J123" s="1" t="s">
        <v>94</v>
      </c>
      <c r="K123" s="1" t="s">
        <v>2214</v>
      </c>
      <c r="L123" s="1">
        <v>477</v>
      </c>
    </row>
    <row r="124" spans="2:12" ht="28.5" x14ac:dyDescent="0.2">
      <c r="B124" s="1" t="s">
        <v>691</v>
      </c>
      <c r="C124" s="1">
        <v>6</v>
      </c>
      <c r="D124" s="1" t="s">
        <v>692</v>
      </c>
      <c r="E124" s="1" t="s">
        <v>1220</v>
      </c>
      <c r="F124" s="1" t="s">
        <v>2216</v>
      </c>
      <c r="G124" s="1" t="s">
        <v>461</v>
      </c>
      <c r="H124" s="1" t="s">
        <v>2217</v>
      </c>
      <c r="I124" s="1" t="s">
        <v>1220</v>
      </c>
      <c r="J124" s="1" t="s">
        <v>88</v>
      </c>
      <c r="K124" s="1" t="s">
        <v>2216</v>
      </c>
      <c r="L124" s="1">
        <v>248</v>
      </c>
    </row>
    <row r="125" spans="2:12" ht="28.5" x14ac:dyDescent="0.2">
      <c r="B125" s="1" t="s">
        <v>691</v>
      </c>
      <c r="C125" s="1">
        <v>6</v>
      </c>
      <c r="D125" s="1" t="s">
        <v>2218</v>
      </c>
      <c r="E125" s="1" t="s">
        <v>1279</v>
      </c>
      <c r="F125" s="1" t="s">
        <v>2219</v>
      </c>
      <c r="G125" s="1" t="s">
        <v>2220</v>
      </c>
      <c r="H125" s="1" t="s">
        <v>2221</v>
      </c>
      <c r="I125" s="1" t="s">
        <v>1279</v>
      </c>
      <c r="J125" s="1" t="s">
        <v>88</v>
      </c>
      <c r="K125" s="1" t="s">
        <v>2219</v>
      </c>
      <c r="L125" s="1">
        <v>340</v>
      </c>
    </row>
    <row r="126" spans="2:12" ht="57" x14ac:dyDescent="0.2">
      <c r="B126" s="1" t="s">
        <v>691</v>
      </c>
      <c r="C126" s="1">
        <v>10</v>
      </c>
      <c r="D126" s="1" t="s">
        <v>699</v>
      </c>
      <c r="E126" s="1" t="s">
        <v>2222</v>
      </c>
      <c r="F126" s="1" t="s">
        <v>2223</v>
      </c>
      <c r="G126" s="1" t="s">
        <v>2224</v>
      </c>
      <c r="H126" s="1" t="s">
        <v>2225</v>
      </c>
      <c r="I126" s="1" t="s">
        <v>2224</v>
      </c>
      <c r="J126" s="1" t="s">
        <v>94</v>
      </c>
      <c r="K126" s="1" t="s">
        <v>2225</v>
      </c>
      <c r="L126" s="1">
        <v>500</v>
      </c>
    </row>
    <row r="127" spans="2:12" ht="28.5" x14ac:dyDescent="0.2">
      <c r="B127" s="1" t="s">
        <v>703</v>
      </c>
      <c r="C127" s="1">
        <v>6</v>
      </c>
      <c r="D127" s="1" t="s">
        <v>1510</v>
      </c>
      <c r="E127" s="1" t="s">
        <v>2226</v>
      </c>
      <c r="F127" s="1" t="s">
        <v>2227</v>
      </c>
      <c r="G127" s="1" t="s">
        <v>842</v>
      </c>
      <c r="H127" s="1" t="s">
        <v>2228</v>
      </c>
      <c r="I127" s="1" t="s">
        <v>2226</v>
      </c>
      <c r="J127" s="1" t="s">
        <v>88</v>
      </c>
      <c r="K127" s="1" t="s">
        <v>2229</v>
      </c>
      <c r="L127" s="1">
        <v>228</v>
      </c>
    </row>
    <row r="128" spans="2:12" ht="42.75" x14ac:dyDescent="0.2">
      <c r="B128" s="1" t="s">
        <v>703</v>
      </c>
      <c r="C128" s="1">
        <v>7</v>
      </c>
      <c r="D128" s="1" t="s">
        <v>708</v>
      </c>
      <c r="E128" s="1" t="s">
        <v>709</v>
      </c>
      <c r="F128" s="1" t="s">
        <v>2230</v>
      </c>
      <c r="G128" s="1" t="s">
        <v>1143</v>
      </c>
      <c r="H128" s="1" t="s">
        <v>2231</v>
      </c>
      <c r="I128" s="1" t="s">
        <v>1143</v>
      </c>
      <c r="J128" s="1" t="s">
        <v>88</v>
      </c>
      <c r="K128" s="1" t="s">
        <v>2231</v>
      </c>
      <c r="L128" s="1">
        <v>234</v>
      </c>
    </row>
    <row r="129" spans="2:12" ht="42.75" x14ac:dyDescent="0.2">
      <c r="B129" s="1" t="s">
        <v>703</v>
      </c>
      <c r="C129" s="1">
        <v>9</v>
      </c>
      <c r="D129" s="1" t="s">
        <v>713</v>
      </c>
      <c r="E129" s="1" t="s">
        <v>2232</v>
      </c>
      <c r="F129" s="1" t="s">
        <v>2233</v>
      </c>
      <c r="G129" s="1" t="s">
        <v>2234</v>
      </c>
      <c r="H129" s="1" t="s">
        <v>2235</v>
      </c>
      <c r="I129" s="1" t="s">
        <v>2232</v>
      </c>
      <c r="J129" s="1" t="s">
        <v>94</v>
      </c>
      <c r="K129" s="1" t="s">
        <v>2233</v>
      </c>
      <c r="L129" s="1">
        <v>645</v>
      </c>
    </row>
    <row r="130" spans="2:12" ht="57" x14ac:dyDescent="0.2">
      <c r="B130" s="1" t="s">
        <v>703</v>
      </c>
      <c r="C130" s="1">
        <v>9</v>
      </c>
      <c r="D130" s="1" t="s">
        <v>703</v>
      </c>
      <c r="E130" s="1" t="s">
        <v>2236</v>
      </c>
      <c r="F130" s="1" t="s">
        <v>2237</v>
      </c>
      <c r="G130" s="1" t="s">
        <v>1195</v>
      </c>
      <c r="H130" s="1" t="s">
        <v>2238</v>
      </c>
      <c r="I130" s="1" t="s">
        <v>2236</v>
      </c>
      <c r="J130" s="1" t="s">
        <v>94</v>
      </c>
      <c r="K130" s="1" t="s">
        <v>2237</v>
      </c>
    </row>
    <row r="131" spans="2:12" ht="42.75" x14ac:dyDescent="0.2">
      <c r="B131" s="1" t="s">
        <v>722</v>
      </c>
      <c r="C131" s="1">
        <v>6</v>
      </c>
      <c r="D131" s="1" t="s">
        <v>2239</v>
      </c>
      <c r="E131" s="1" t="s">
        <v>2240</v>
      </c>
      <c r="F131" s="1" t="s">
        <v>2241</v>
      </c>
      <c r="G131" s="1" t="s">
        <v>2242</v>
      </c>
      <c r="H131" s="1" t="s">
        <v>2243</v>
      </c>
      <c r="I131" s="1" t="s">
        <v>2242</v>
      </c>
      <c r="J131" s="1" t="s">
        <v>94</v>
      </c>
      <c r="K131" s="1" t="s">
        <v>2244</v>
      </c>
      <c r="L131" s="1">
        <v>503</v>
      </c>
    </row>
    <row r="132" spans="2:12" ht="42.75" x14ac:dyDescent="0.2">
      <c r="B132" s="1" t="s">
        <v>722</v>
      </c>
      <c r="C132" s="1">
        <v>8</v>
      </c>
      <c r="D132" s="1" t="s">
        <v>731</v>
      </c>
      <c r="E132" s="1" t="s">
        <v>1688</v>
      </c>
      <c r="F132" s="1" t="s">
        <v>2245</v>
      </c>
      <c r="G132" s="1" t="s">
        <v>2246</v>
      </c>
      <c r="H132" s="1" t="s">
        <v>2247</v>
      </c>
      <c r="I132" s="1" t="s">
        <v>1688</v>
      </c>
      <c r="J132" s="1" t="s">
        <v>1936</v>
      </c>
      <c r="K132" s="1" t="s">
        <v>2245</v>
      </c>
      <c r="L132" s="1">
        <v>369</v>
      </c>
    </row>
    <row r="133" spans="2:12" ht="42.75" x14ac:dyDescent="0.2">
      <c r="B133" s="1" t="s">
        <v>722</v>
      </c>
      <c r="C133" s="1">
        <v>8</v>
      </c>
      <c r="D133" s="1" t="s">
        <v>738</v>
      </c>
      <c r="E133" s="1" t="s">
        <v>1984</v>
      </c>
      <c r="F133" s="1" t="s">
        <v>2248</v>
      </c>
      <c r="G133" s="1" t="s">
        <v>2249</v>
      </c>
      <c r="H133" s="1" t="s">
        <v>2250</v>
      </c>
      <c r="I133" s="1" t="s">
        <v>1984</v>
      </c>
      <c r="J133" s="1" t="s">
        <v>94</v>
      </c>
      <c r="K133" s="1" t="s">
        <v>2248</v>
      </c>
      <c r="L133" s="1">
        <v>368</v>
      </c>
    </row>
    <row r="134" spans="2:12" ht="28.5" x14ac:dyDescent="0.2">
      <c r="B134" s="1" t="s">
        <v>722</v>
      </c>
      <c r="C134" s="1">
        <v>9</v>
      </c>
      <c r="D134" s="1" t="s">
        <v>742</v>
      </c>
      <c r="E134" s="1" t="s">
        <v>2251</v>
      </c>
      <c r="F134" s="1" t="s">
        <v>2252</v>
      </c>
      <c r="G134" s="1" t="s">
        <v>2253</v>
      </c>
      <c r="H134" s="1" t="s">
        <v>2254</v>
      </c>
      <c r="I134" s="1" t="s">
        <v>2255</v>
      </c>
      <c r="J134" s="1" t="s">
        <v>94</v>
      </c>
      <c r="K134" s="1" t="s">
        <v>2254</v>
      </c>
      <c r="L134" s="1">
        <v>694</v>
      </c>
    </row>
    <row r="135" spans="2:12" ht="57" x14ac:dyDescent="0.2">
      <c r="B135" s="1" t="s">
        <v>747</v>
      </c>
      <c r="C135" s="1">
        <v>6</v>
      </c>
      <c r="D135" s="1" t="s">
        <v>759</v>
      </c>
      <c r="E135" s="1" t="s">
        <v>1670</v>
      </c>
      <c r="F135" s="1" t="s">
        <v>2256</v>
      </c>
      <c r="G135" s="1" t="s">
        <v>2257</v>
      </c>
      <c r="H135" s="1" t="s">
        <v>2258</v>
      </c>
      <c r="I135" s="1" t="s">
        <v>2257</v>
      </c>
      <c r="J135" s="1" t="s">
        <v>88</v>
      </c>
      <c r="K135" s="1" t="s">
        <v>2259</v>
      </c>
    </row>
    <row r="136" spans="2:12" ht="42.75" x14ac:dyDescent="0.2">
      <c r="B136" s="1" t="s">
        <v>747</v>
      </c>
      <c r="C136" s="1">
        <v>6</v>
      </c>
      <c r="D136" s="1" t="s">
        <v>773</v>
      </c>
      <c r="E136" s="1" t="s">
        <v>790</v>
      </c>
      <c r="F136" s="1" t="s">
        <v>2260</v>
      </c>
      <c r="G136" s="1" t="s">
        <v>1994</v>
      </c>
      <c r="H136" s="1" t="s">
        <v>2261</v>
      </c>
      <c r="I136" s="1" t="s">
        <v>2069</v>
      </c>
      <c r="J136" s="1" t="s">
        <v>1936</v>
      </c>
      <c r="K136" s="1" t="s">
        <v>2262</v>
      </c>
    </row>
    <row r="137" spans="2:12" ht="28.5" x14ac:dyDescent="0.2">
      <c r="B137" s="1" t="s">
        <v>747</v>
      </c>
      <c r="C137" s="1">
        <v>7</v>
      </c>
      <c r="D137" s="1" t="s">
        <v>764</v>
      </c>
      <c r="E137" s="1" t="s">
        <v>1314</v>
      </c>
      <c r="F137" s="1" t="s">
        <v>2263</v>
      </c>
      <c r="G137" s="1" t="s">
        <v>1906</v>
      </c>
      <c r="H137" s="1" t="s">
        <v>2264</v>
      </c>
      <c r="I137" s="1" t="s">
        <v>2265</v>
      </c>
      <c r="J137" s="1" t="s">
        <v>88</v>
      </c>
      <c r="K137" s="1" t="s">
        <v>2217</v>
      </c>
      <c r="L137" s="1">
        <v>390</v>
      </c>
    </row>
    <row r="138" spans="2:12" ht="57" x14ac:dyDescent="0.2">
      <c r="B138" s="1" t="s">
        <v>747</v>
      </c>
      <c r="C138" s="1">
        <v>7</v>
      </c>
      <c r="D138" s="1" t="s">
        <v>1562</v>
      </c>
      <c r="E138" s="1" t="s">
        <v>1891</v>
      </c>
      <c r="F138" s="1" t="s">
        <v>2266</v>
      </c>
      <c r="G138" s="1" t="s">
        <v>1190</v>
      </c>
      <c r="H138" s="1" t="s">
        <v>2267</v>
      </c>
      <c r="I138" s="1" t="s">
        <v>1190</v>
      </c>
      <c r="J138" s="1" t="s">
        <v>94</v>
      </c>
      <c r="K138" s="1" t="s">
        <v>2268</v>
      </c>
      <c r="L138" s="1">
        <v>438</v>
      </c>
    </row>
    <row r="139" spans="2:12" ht="42.75" x14ac:dyDescent="0.2">
      <c r="B139" s="1" t="s">
        <v>747</v>
      </c>
      <c r="C139" s="1">
        <v>7</v>
      </c>
      <c r="D139" s="1" t="s">
        <v>769</v>
      </c>
      <c r="E139" s="1" t="s">
        <v>1200</v>
      </c>
      <c r="F139" s="1" t="s">
        <v>2269</v>
      </c>
      <c r="G139" s="1" t="s">
        <v>2270</v>
      </c>
      <c r="H139" s="1" t="s">
        <v>2271</v>
      </c>
      <c r="I139" s="1" t="s">
        <v>2270</v>
      </c>
      <c r="J139" s="1" t="s">
        <v>94</v>
      </c>
      <c r="K139" s="1" t="s">
        <v>2271</v>
      </c>
    </row>
    <row r="140" spans="2:12" ht="42.75" x14ac:dyDescent="0.2">
      <c r="B140" s="1" t="s">
        <v>747</v>
      </c>
      <c r="C140" s="1">
        <v>9</v>
      </c>
      <c r="D140" s="1" t="s">
        <v>1574</v>
      </c>
      <c r="E140" s="1" t="s">
        <v>1541</v>
      </c>
      <c r="F140" s="1" t="s">
        <v>2272</v>
      </c>
      <c r="G140" s="1" t="s">
        <v>2273</v>
      </c>
      <c r="H140" s="1" t="s">
        <v>2274</v>
      </c>
      <c r="I140" s="1" t="s">
        <v>2273</v>
      </c>
      <c r="J140" s="1" t="s">
        <v>94</v>
      </c>
      <c r="K140" s="1" t="s">
        <v>2274</v>
      </c>
      <c r="L140" s="1">
        <v>703</v>
      </c>
    </row>
    <row r="141" spans="2:12" ht="42.75" x14ac:dyDescent="0.2">
      <c r="B141" s="1" t="s">
        <v>747</v>
      </c>
      <c r="C141" s="1">
        <v>9</v>
      </c>
      <c r="D141" s="1" t="s">
        <v>798</v>
      </c>
      <c r="E141" s="1" t="s">
        <v>2275</v>
      </c>
      <c r="F141" s="1" t="s">
        <v>2276</v>
      </c>
      <c r="G141" s="1" t="s">
        <v>2277</v>
      </c>
      <c r="H141" s="1" t="s">
        <v>2278</v>
      </c>
      <c r="I141" s="1" t="s">
        <v>2275</v>
      </c>
      <c r="J141" s="1" t="s">
        <v>94</v>
      </c>
      <c r="K141" s="1" t="s">
        <v>2276</v>
      </c>
      <c r="L141" s="1">
        <v>564</v>
      </c>
    </row>
    <row r="142" spans="2:12" ht="57" x14ac:dyDescent="0.2">
      <c r="B142" s="1" t="s">
        <v>747</v>
      </c>
      <c r="C142" s="1">
        <v>9</v>
      </c>
      <c r="D142" s="1" t="s">
        <v>1586</v>
      </c>
      <c r="E142" s="1" t="s">
        <v>2279</v>
      </c>
      <c r="F142" s="1" t="s">
        <v>2280</v>
      </c>
      <c r="G142" s="1" t="s">
        <v>2281</v>
      </c>
      <c r="H142" s="1" t="s">
        <v>2282</v>
      </c>
      <c r="I142" s="1" t="s">
        <v>2279</v>
      </c>
      <c r="J142" s="1" t="s">
        <v>94</v>
      </c>
      <c r="K142" s="1" t="s">
        <v>2283</v>
      </c>
      <c r="L142" s="1">
        <v>484</v>
      </c>
    </row>
    <row r="143" spans="2:12" ht="57" x14ac:dyDescent="0.2">
      <c r="B143" s="1" t="s">
        <v>747</v>
      </c>
      <c r="C143" s="1">
        <v>9</v>
      </c>
      <c r="D143" s="1" t="s">
        <v>784</v>
      </c>
      <c r="E143" s="1" t="s">
        <v>1859</v>
      </c>
      <c r="F143" s="1" t="s">
        <v>2284</v>
      </c>
      <c r="G143" s="1" t="s">
        <v>2285</v>
      </c>
      <c r="H143" s="1" t="s">
        <v>2286</v>
      </c>
      <c r="I143" s="1" t="s">
        <v>1859</v>
      </c>
      <c r="J143" s="1" t="s">
        <v>94</v>
      </c>
      <c r="K143" s="1" t="s">
        <v>2284</v>
      </c>
      <c r="L143" s="1">
        <v>573</v>
      </c>
    </row>
    <row r="144" spans="2:12" ht="42.75" x14ac:dyDescent="0.2">
      <c r="B144" s="1" t="s">
        <v>747</v>
      </c>
      <c r="C144" s="1">
        <v>9</v>
      </c>
      <c r="D144" s="1" t="s">
        <v>789</v>
      </c>
      <c r="E144" s="1" t="s">
        <v>1030</v>
      </c>
      <c r="F144" s="1" t="s">
        <v>2287</v>
      </c>
      <c r="G144" s="1" t="s">
        <v>2288</v>
      </c>
      <c r="H144" s="1" t="s">
        <v>2289</v>
      </c>
      <c r="I144" s="1" t="s">
        <v>2288</v>
      </c>
      <c r="J144" s="1" t="s">
        <v>94</v>
      </c>
      <c r="K144" s="1" t="s">
        <v>2290</v>
      </c>
      <c r="L144" s="1">
        <v>554</v>
      </c>
    </row>
    <row r="145" spans="2:12" ht="42.75" x14ac:dyDescent="0.2">
      <c r="B145" s="1" t="s">
        <v>747</v>
      </c>
      <c r="C145" s="1">
        <v>9</v>
      </c>
      <c r="D145" s="1" t="s">
        <v>793</v>
      </c>
      <c r="E145" s="1" t="s">
        <v>2291</v>
      </c>
      <c r="F145" s="1" t="s">
        <v>2292</v>
      </c>
      <c r="G145" s="1" t="s">
        <v>2053</v>
      </c>
      <c r="H145" s="1" t="s">
        <v>2293</v>
      </c>
      <c r="I145" s="1" t="s">
        <v>2031</v>
      </c>
      <c r="J145" s="1" t="s">
        <v>94</v>
      </c>
      <c r="K145" s="1" t="s">
        <v>2294</v>
      </c>
    </row>
    <row r="146" spans="2:12" ht="57" x14ac:dyDescent="0.2">
      <c r="B146" s="1" t="s">
        <v>747</v>
      </c>
      <c r="C146" s="1">
        <v>9</v>
      </c>
      <c r="D146" s="1" t="s">
        <v>803</v>
      </c>
      <c r="E146" s="1" t="s">
        <v>2295</v>
      </c>
      <c r="F146" s="1" t="s">
        <v>2296</v>
      </c>
      <c r="G146" s="1" t="s">
        <v>357</v>
      </c>
      <c r="H146" s="1" t="s">
        <v>2297</v>
      </c>
      <c r="I146" s="1" t="s">
        <v>2298</v>
      </c>
      <c r="J146" s="1" t="s">
        <v>94</v>
      </c>
      <c r="K146" s="1" t="s">
        <v>2299</v>
      </c>
    </row>
    <row r="147" spans="2:12" ht="42.75" x14ac:dyDescent="0.2">
      <c r="B147" s="1" t="s">
        <v>809</v>
      </c>
      <c r="C147" s="1">
        <v>6</v>
      </c>
      <c r="D147" s="1" t="s">
        <v>810</v>
      </c>
      <c r="E147" s="1" t="s">
        <v>2300</v>
      </c>
      <c r="F147" s="1" t="s">
        <v>2301</v>
      </c>
      <c r="G147" s="1" t="s">
        <v>2302</v>
      </c>
      <c r="H147" s="1" t="s">
        <v>2303</v>
      </c>
      <c r="I147" s="1" t="s">
        <v>233</v>
      </c>
      <c r="J147" s="1" t="s">
        <v>94</v>
      </c>
      <c r="K147" s="1" t="s">
        <v>2304</v>
      </c>
      <c r="L147" s="1">
        <v>308</v>
      </c>
    </row>
    <row r="148" spans="2:12" ht="28.5" x14ac:dyDescent="0.2">
      <c r="B148" s="1" t="s">
        <v>809</v>
      </c>
      <c r="C148" s="1">
        <v>6</v>
      </c>
      <c r="D148" s="1" t="s">
        <v>825</v>
      </c>
      <c r="E148" s="1" t="s">
        <v>706</v>
      </c>
      <c r="F148" s="1" t="s">
        <v>2305</v>
      </c>
      <c r="G148" s="1" t="s">
        <v>2306</v>
      </c>
      <c r="H148" s="1" t="s">
        <v>2307</v>
      </c>
      <c r="I148" s="1" t="s">
        <v>706</v>
      </c>
      <c r="J148" s="1" t="s">
        <v>94</v>
      </c>
      <c r="K148" s="1" t="s">
        <v>2308</v>
      </c>
      <c r="L148" s="1">
        <v>321</v>
      </c>
    </row>
    <row r="149" spans="2:12" ht="57" x14ac:dyDescent="0.2">
      <c r="B149" s="1" t="s">
        <v>809</v>
      </c>
      <c r="C149" s="1">
        <v>6</v>
      </c>
      <c r="D149" s="1" t="s">
        <v>817</v>
      </c>
      <c r="E149" s="1" t="s">
        <v>2309</v>
      </c>
      <c r="F149" s="1" t="s">
        <v>2310</v>
      </c>
      <c r="G149" s="1" t="s">
        <v>309</v>
      </c>
      <c r="H149" s="1" t="s">
        <v>2311</v>
      </c>
      <c r="I149" s="1" t="s">
        <v>2309</v>
      </c>
      <c r="J149" s="1" t="s">
        <v>94</v>
      </c>
      <c r="K149" s="1" t="s">
        <v>2310</v>
      </c>
      <c r="L149" s="1">
        <v>413</v>
      </c>
    </row>
    <row r="150" spans="2:12" ht="28.5" x14ac:dyDescent="0.2">
      <c r="B150" s="1" t="s">
        <v>809</v>
      </c>
      <c r="C150" s="1">
        <v>6</v>
      </c>
      <c r="D150" s="1" t="s">
        <v>821</v>
      </c>
      <c r="E150" s="1" t="s">
        <v>1299</v>
      </c>
      <c r="F150" s="1" t="s">
        <v>2312</v>
      </c>
      <c r="G150" s="1" t="s">
        <v>776</v>
      </c>
      <c r="H150" s="1" t="s">
        <v>2313</v>
      </c>
      <c r="I150" s="1" t="s">
        <v>776</v>
      </c>
      <c r="J150" s="1" t="s">
        <v>94</v>
      </c>
      <c r="K150" s="1" t="s">
        <v>2314</v>
      </c>
      <c r="L150" s="1">
        <v>303</v>
      </c>
    </row>
    <row r="151" spans="2:12" ht="28.5" x14ac:dyDescent="0.2">
      <c r="B151" s="1" t="s">
        <v>809</v>
      </c>
      <c r="C151" s="1">
        <v>6</v>
      </c>
      <c r="D151" s="1" t="s">
        <v>1612</v>
      </c>
      <c r="E151" s="1" t="s">
        <v>2315</v>
      </c>
      <c r="F151" s="1" t="s">
        <v>2316</v>
      </c>
      <c r="G151" s="1" t="s">
        <v>1589</v>
      </c>
      <c r="H151" s="1" t="s">
        <v>2317</v>
      </c>
      <c r="I151" s="1" t="s">
        <v>2315</v>
      </c>
      <c r="J151" s="1" t="s">
        <v>94</v>
      </c>
      <c r="K151" s="1" t="s">
        <v>2318</v>
      </c>
      <c r="L151" s="1">
        <v>355</v>
      </c>
    </row>
    <row r="152" spans="2:12" ht="42.75" x14ac:dyDescent="0.2">
      <c r="B152" s="1" t="s">
        <v>809</v>
      </c>
      <c r="C152" s="1">
        <v>8</v>
      </c>
      <c r="D152" s="1" t="s">
        <v>830</v>
      </c>
      <c r="E152" s="1" t="s">
        <v>2319</v>
      </c>
      <c r="F152" s="1" t="s">
        <v>2320</v>
      </c>
      <c r="G152" s="1" t="s">
        <v>2321</v>
      </c>
      <c r="H152" s="1" t="s">
        <v>2322</v>
      </c>
      <c r="I152" s="1" t="s">
        <v>2319</v>
      </c>
      <c r="J152" s="1" t="s">
        <v>94</v>
      </c>
      <c r="K152" s="1" t="s">
        <v>2320</v>
      </c>
      <c r="L152" s="1">
        <v>702</v>
      </c>
    </row>
    <row r="153" spans="2:12" ht="42.75" x14ac:dyDescent="0.2">
      <c r="B153" s="1" t="s">
        <v>809</v>
      </c>
      <c r="C153" s="1">
        <v>9</v>
      </c>
      <c r="D153" s="1" t="s">
        <v>835</v>
      </c>
      <c r="E153" s="1" t="s">
        <v>1028</v>
      </c>
      <c r="F153" s="1" t="s">
        <v>2323</v>
      </c>
      <c r="G153" s="1" t="s">
        <v>1897</v>
      </c>
      <c r="H153" s="1" t="s">
        <v>2324</v>
      </c>
      <c r="I153" s="1" t="s">
        <v>1028</v>
      </c>
      <c r="J153" s="1" t="s">
        <v>94</v>
      </c>
      <c r="K153" s="1" t="s">
        <v>2323</v>
      </c>
      <c r="L153" s="1">
        <v>604</v>
      </c>
    </row>
    <row r="154" spans="2:12" ht="57" x14ac:dyDescent="0.2">
      <c r="B154" s="1" t="s">
        <v>809</v>
      </c>
      <c r="C154" s="1">
        <v>9</v>
      </c>
      <c r="D154" s="1" t="s">
        <v>847</v>
      </c>
      <c r="E154" s="1" t="s">
        <v>2325</v>
      </c>
      <c r="F154" s="1" t="s">
        <v>2326</v>
      </c>
      <c r="G154" s="1" t="s">
        <v>2327</v>
      </c>
      <c r="H154" s="1" t="s">
        <v>2328</v>
      </c>
      <c r="I154" s="1" t="s">
        <v>2327</v>
      </c>
      <c r="J154" s="1" t="s">
        <v>94</v>
      </c>
      <c r="K154" s="1" t="s">
        <v>2328</v>
      </c>
    </row>
    <row r="155" spans="2:12" ht="42.75" x14ac:dyDescent="0.2">
      <c r="B155" s="1" t="s">
        <v>809</v>
      </c>
      <c r="C155" s="1">
        <v>10</v>
      </c>
      <c r="D155" s="1" t="s">
        <v>841</v>
      </c>
      <c r="E155" s="1" t="s">
        <v>350</v>
      </c>
      <c r="F155" s="1" t="s">
        <v>2329</v>
      </c>
      <c r="G155" s="1" t="s">
        <v>2330</v>
      </c>
      <c r="H155" s="1" t="s">
        <v>2331</v>
      </c>
      <c r="I155" s="1" t="s">
        <v>350</v>
      </c>
      <c r="J155" s="1" t="s">
        <v>94</v>
      </c>
      <c r="K155" s="1" t="s">
        <v>2329</v>
      </c>
      <c r="L155" s="1">
        <v>766</v>
      </c>
    </row>
    <row r="156" spans="2:12" ht="57" x14ac:dyDescent="0.2">
      <c r="B156" s="1" t="s">
        <v>1635</v>
      </c>
      <c r="C156" s="1">
        <v>10</v>
      </c>
      <c r="D156" s="1" t="s">
        <v>2332</v>
      </c>
      <c r="E156" s="1" t="s">
        <v>2333</v>
      </c>
      <c r="F156" s="1" t="s">
        <v>2334</v>
      </c>
      <c r="G156" s="1" t="s">
        <v>2335</v>
      </c>
      <c r="H156" s="1" t="s">
        <v>2336</v>
      </c>
      <c r="I156" s="1" t="s">
        <v>2335</v>
      </c>
      <c r="J156" s="1" t="s">
        <v>94</v>
      </c>
      <c r="K156" s="1" t="s">
        <v>2336</v>
      </c>
      <c r="L156" s="1">
        <v>796</v>
      </c>
    </row>
    <row r="157" spans="2:12" ht="57" x14ac:dyDescent="0.2">
      <c r="B157" s="1" t="s">
        <v>852</v>
      </c>
      <c r="C157" s="1">
        <v>6</v>
      </c>
      <c r="D157" s="1" t="s">
        <v>862</v>
      </c>
      <c r="E157" s="1" t="s">
        <v>538</v>
      </c>
      <c r="F157" s="1" t="s">
        <v>2337</v>
      </c>
      <c r="G157" s="1" t="s">
        <v>658</v>
      </c>
      <c r="H157" s="1" t="s">
        <v>2338</v>
      </c>
      <c r="I157" s="1" t="s">
        <v>2249</v>
      </c>
      <c r="J157" s="1" t="s">
        <v>94</v>
      </c>
      <c r="K157" s="1" t="s">
        <v>2339</v>
      </c>
      <c r="L157" s="1">
        <v>327</v>
      </c>
    </row>
    <row r="158" spans="2:12" ht="42.75" x14ac:dyDescent="0.2">
      <c r="B158" s="1" t="s">
        <v>852</v>
      </c>
      <c r="C158" s="1">
        <v>6</v>
      </c>
      <c r="D158" s="1" t="s">
        <v>867</v>
      </c>
      <c r="E158" s="1" t="s">
        <v>2340</v>
      </c>
      <c r="F158" s="1" t="s">
        <v>2341</v>
      </c>
      <c r="G158" s="1" t="s">
        <v>1104</v>
      </c>
      <c r="H158" s="1" t="s">
        <v>2342</v>
      </c>
      <c r="I158" s="1" t="s">
        <v>1104</v>
      </c>
      <c r="J158" s="1" t="s">
        <v>88</v>
      </c>
      <c r="K158" s="1" t="s">
        <v>2342</v>
      </c>
      <c r="L158" s="1">
        <v>237</v>
      </c>
    </row>
    <row r="159" spans="2:12" ht="28.5" x14ac:dyDescent="0.2">
      <c r="B159" s="1" t="s">
        <v>852</v>
      </c>
      <c r="C159" s="1">
        <v>6</v>
      </c>
      <c r="D159" s="1" t="s">
        <v>877</v>
      </c>
      <c r="E159" s="1" t="s">
        <v>1106</v>
      </c>
      <c r="F159" s="1" t="s">
        <v>2343</v>
      </c>
      <c r="G159" s="1" t="s">
        <v>1844</v>
      </c>
      <c r="H159" s="1" t="s">
        <v>2344</v>
      </c>
      <c r="I159" s="1" t="s">
        <v>1106</v>
      </c>
      <c r="J159" s="1" t="s">
        <v>88</v>
      </c>
      <c r="K159" s="1" t="s">
        <v>2345</v>
      </c>
      <c r="L159" s="1">
        <v>384</v>
      </c>
    </row>
    <row r="160" spans="2:12" ht="57" x14ac:dyDescent="0.2">
      <c r="B160" s="1" t="s">
        <v>852</v>
      </c>
      <c r="C160" s="1">
        <v>6</v>
      </c>
      <c r="D160" s="1" t="s">
        <v>872</v>
      </c>
      <c r="E160" s="1" t="s">
        <v>2346</v>
      </c>
      <c r="F160" s="1" t="s">
        <v>2347</v>
      </c>
      <c r="G160" s="1" t="s">
        <v>2309</v>
      </c>
      <c r="H160" s="1" t="s">
        <v>2348</v>
      </c>
      <c r="I160" s="1" t="s">
        <v>2349</v>
      </c>
      <c r="J160" s="1" t="s">
        <v>88</v>
      </c>
      <c r="K160" s="1" t="s">
        <v>2350</v>
      </c>
      <c r="L160" s="1">
        <v>295</v>
      </c>
    </row>
    <row r="161" spans="1:12" ht="42.75" x14ac:dyDescent="0.2">
      <c r="B161" s="1" t="s">
        <v>852</v>
      </c>
      <c r="C161" s="1">
        <v>6</v>
      </c>
      <c r="D161" s="1" t="s">
        <v>1659</v>
      </c>
      <c r="E161" s="1" t="s">
        <v>842</v>
      </c>
      <c r="F161" s="1" t="s">
        <v>2351</v>
      </c>
      <c r="G161" s="1" t="s">
        <v>2352</v>
      </c>
      <c r="H161" s="1" t="s">
        <v>2353</v>
      </c>
      <c r="I161" s="1" t="s">
        <v>2352</v>
      </c>
      <c r="J161" s="1" t="s">
        <v>88</v>
      </c>
      <c r="K161" s="1" t="s">
        <v>2353</v>
      </c>
      <c r="L161" s="1">
        <v>269</v>
      </c>
    </row>
    <row r="162" spans="1:12" ht="28.5" x14ac:dyDescent="0.2">
      <c r="B162" s="1" t="s">
        <v>852</v>
      </c>
      <c r="C162" s="1">
        <v>6</v>
      </c>
      <c r="D162" s="1" t="s">
        <v>882</v>
      </c>
      <c r="E162" s="1" t="s">
        <v>604</v>
      </c>
      <c r="F162" s="1" t="s">
        <v>2354</v>
      </c>
      <c r="G162" s="1" t="s">
        <v>982</v>
      </c>
      <c r="H162" s="1" t="s">
        <v>2355</v>
      </c>
      <c r="I162" s="1" t="s">
        <v>604</v>
      </c>
      <c r="J162" s="1" t="s">
        <v>94</v>
      </c>
      <c r="K162" s="1" t="s">
        <v>2354</v>
      </c>
      <c r="L162" s="1">
        <v>295</v>
      </c>
    </row>
    <row r="163" spans="1:12" ht="28.5" x14ac:dyDescent="0.2">
      <c r="B163" s="1" t="s">
        <v>852</v>
      </c>
      <c r="C163" s="1">
        <v>6</v>
      </c>
      <c r="D163" s="1" t="s">
        <v>886</v>
      </c>
      <c r="E163" s="1" t="s">
        <v>576</v>
      </c>
      <c r="F163" s="1" t="s">
        <v>2356</v>
      </c>
      <c r="G163" s="1" t="s">
        <v>2357</v>
      </c>
      <c r="H163" s="1" t="s">
        <v>2358</v>
      </c>
      <c r="I163" s="1" t="s">
        <v>2357</v>
      </c>
      <c r="J163" s="1" t="s">
        <v>94</v>
      </c>
      <c r="K163" s="1" t="s">
        <v>2358</v>
      </c>
      <c r="L163" s="1">
        <v>390</v>
      </c>
    </row>
    <row r="164" spans="1:12" ht="42.75" x14ac:dyDescent="0.2">
      <c r="B164" s="1" t="s">
        <v>852</v>
      </c>
      <c r="C164" s="1">
        <v>7</v>
      </c>
      <c r="D164" s="1" t="s">
        <v>1669</v>
      </c>
      <c r="E164" s="1" t="s">
        <v>2359</v>
      </c>
      <c r="F164" s="1" t="s">
        <v>2360</v>
      </c>
      <c r="G164" s="1" t="s">
        <v>2361</v>
      </c>
      <c r="H164" s="1" t="s">
        <v>2362</v>
      </c>
      <c r="I164" s="1" t="s">
        <v>2359</v>
      </c>
      <c r="J164" s="1" t="s">
        <v>94</v>
      </c>
      <c r="K164" s="1" t="s">
        <v>2360</v>
      </c>
      <c r="L164" s="1">
        <v>498</v>
      </c>
    </row>
    <row r="165" spans="1:12" ht="57" x14ac:dyDescent="0.2">
      <c r="A165" s="1">
        <v>1</v>
      </c>
      <c r="B165" s="1" t="s">
        <v>852</v>
      </c>
      <c r="C165" s="1">
        <v>7</v>
      </c>
      <c r="D165" s="1" t="s">
        <v>891</v>
      </c>
      <c r="E165" s="1" t="s">
        <v>2363</v>
      </c>
      <c r="F165" s="1" t="s">
        <v>2364</v>
      </c>
      <c r="G165" s="1" t="s">
        <v>2365</v>
      </c>
      <c r="H165" s="1" t="s">
        <v>2366</v>
      </c>
      <c r="I165" s="1" t="s">
        <v>2363</v>
      </c>
      <c r="J165" s="1" t="s">
        <v>94</v>
      </c>
      <c r="K165" s="1" t="s">
        <v>2364</v>
      </c>
    </row>
    <row r="166" spans="1:12" ht="57" x14ac:dyDescent="0.2">
      <c r="B166" s="1" t="s">
        <v>852</v>
      </c>
      <c r="C166" s="1">
        <v>8</v>
      </c>
      <c r="D166" s="1" t="s">
        <v>895</v>
      </c>
      <c r="E166" s="1" t="s">
        <v>2367</v>
      </c>
      <c r="F166" s="1" t="s">
        <v>2368</v>
      </c>
      <c r="G166" s="1" t="s">
        <v>2369</v>
      </c>
      <c r="H166" s="1" t="s">
        <v>2370</v>
      </c>
      <c r="I166" s="1" t="s">
        <v>2369</v>
      </c>
      <c r="J166" s="1" t="s">
        <v>94</v>
      </c>
      <c r="K166" s="1" t="s">
        <v>2370</v>
      </c>
      <c r="L166" s="1">
        <v>638</v>
      </c>
    </row>
    <row r="167" spans="1:12" ht="42.75" x14ac:dyDescent="0.2">
      <c r="B167" s="1" t="s">
        <v>852</v>
      </c>
      <c r="C167" s="1">
        <v>8</v>
      </c>
      <c r="D167" s="1" t="s">
        <v>900</v>
      </c>
      <c r="E167" s="1" t="s">
        <v>815</v>
      </c>
      <c r="F167" s="1" t="s">
        <v>2371</v>
      </c>
      <c r="G167" s="1" t="s">
        <v>898</v>
      </c>
      <c r="H167" s="1" t="s">
        <v>2372</v>
      </c>
      <c r="I167" s="1" t="s">
        <v>815</v>
      </c>
      <c r="J167" s="1" t="s">
        <v>94</v>
      </c>
      <c r="K167" s="1" t="s">
        <v>2371</v>
      </c>
      <c r="L167" s="1">
        <v>506</v>
      </c>
    </row>
    <row r="168" spans="1:12" ht="57" x14ac:dyDescent="0.2">
      <c r="B168" s="1" t="s">
        <v>852</v>
      </c>
      <c r="C168" s="1">
        <v>8</v>
      </c>
      <c r="D168" s="1" t="s">
        <v>909</v>
      </c>
      <c r="E168" s="1" t="s">
        <v>2373</v>
      </c>
      <c r="F168" s="1" t="s">
        <v>2374</v>
      </c>
      <c r="G168" s="1" t="s">
        <v>2375</v>
      </c>
      <c r="H168" s="1" t="s">
        <v>2376</v>
      </c>
      <c r="I168" s="1" t="s">
        <v>2373</v>
      </c>
      <c r="J168" s="1" t="s">
        <v>94</v>
      </c>
      <c r="K168" s="1" t="s">
        <v>2377</v>
      </c>
      <c r="L168" s="1">
        <v>609</v>
      </c>
    </row>
    <row r="169" spans="1:12" ht="57" x14ac:dyDescent="0.2">
      <c r="B169" s="1" t="s">
        <v>852</v>
      </c>
      <c r="C169" s="1">
        <v>8</v>
      </c>
      <c r="D169" s="1" t="s">
        <v>914</v>
      </c>
      <c r="E169" s="1" t="s">
        <v>2333</v>
      </c>
      <c r="F169" s="1" t="s">
        <v>2378</v>
      </c>
      <c r="G169" s="1" t="s">
        <v>527</v>
      </c>
      <c r="H169" s="1" t="s">
        <v>2379</v>
      </c>
      <c r="I169" s="1" t="s">
        <v>2333</v>
      </c>
      <c r="J169" s="1" t="s">
        <v>94</v>
      </c>
      <c r="K169" s="1" t="s">
        <v>2378</v>
      </c>
      <c r="L169" s="1">
        <v>451</v>
      </c>
    </row>
    <row r="170" spans="1:12" ht="42.75" x14ac:dyDescent="0.2">
      <c r="B170" s="1" t="s">
        <v>852</v>
      </c>
      <c r="C170" s="1">
        <v>9</v>
      </c>
      <c r="D170" s="1" t="s">
        <v>904</v>
      </c>
      <c r="E170" s="1" t="s">
        <v>732</v>
      </c>
      <c r="F170" s="1" t="s">
        <v>2380</v>
      </c>
      <c r="G170" s="1" t="s">
        <v>2381</v>
      </c>
      <c r="H170" s="1" t="s">
        <v>2382</v>
      </c>
      <c r="I170" s="1" t="s">
        <v>948</v>
      </c>
      <c r="J170" s="1" t="s">
        <v>94</v>
      </c>
      <c r="K170" s="1" t="s">
        <v>2383</v>
      </c>
      <c r="L170" s="1">
        <v>545</v>
      </c>
    </row>
    <row r="171" spans="1:12" ht="42.75" x14ac:dyDescent="0.2">
      <c r="B171" s="1" t="s">
        <v>852</v>
      </c>
      <c r="C171" s="1">
        <v>9</v>
      </c>
      <c r="D171" s="1" t="s">
        <v>926</v>
      </c>
      <c r="E171" s="1" t="s">
        <v>1682</v>
      </c>
      <c r="F171" s="1" t="s">
        <v>2384</v>
      </c>
      <c r="G171" s="1" t="s">
        <v>377</v>
      </c>
      <c r="H171" s="1" t="s">
        <v>2385</v>
      </c>
      <c r="I171" s="1" t="s">
        <v>1682</v>
      </c>
      <c r="J171" s="1" t="s">
        <v>94</v>
      </c>
      <c r="K171" s="1" t="s">
        <v>2386</v>
      </c>
      <c r="L171" s="1">
        <v>382</v>
      </c>
    </row>
    <row r="172" spans="1:12" ht="42.75" x14ac:dyDescent="0.2">
      <c r="B172" s="1" t="s">
        <v>852</v>
      </c>
      <c r="C172" s="1">
        <v>9</v>
      </c>
      <c r="D172" s="1" t="s">
        <v>2387</v>
      </c>
      <c r="E172" s="1" t="s">
        <v>113</v>
      </c>
      <c r="F172" s="1" t="s">
        <v>2388</v>
      </c>
      <c r="G172" s="1" t="s">
        <v>2389</v>
      </c>
      <c r="H172" s="1" t="s">
        <v>2390</v>
      </c>
      <c r="I172" s="1" t="s">
        <v>2389</v>
      </c>
      <c r="J172" s="1" t="s">
        <v>94</v>
      </c>
      <c r="K172" s="1" t="s">
        <v>2390</v>
      </c>
      <c r="L172" s="1">
        <v>659</v>
      </c>
    </row>
    <row r="173" spans="1:12" ht="57" x14ac:dyDescent="0.2">
      <c r="B173" s="1" t="s">
        <v>852</v>
      </c>
      <c r="C173" s="1">
        <v>9</v>
      </c>
      <c r="D173" s="1" t="s">
        <v>919</v>
      </c>
      <c r="E173" s="1" t="s">
        <v>2391</v>
      </c>
      <c r="F173" s="1" t="s">
        <v>2392</v>
      </c>
      <c r="G173" s="1" t="s">
        <v>2393</v>
      </c>
      <c r="H173" s="1" t="s">
        <v>2394</v>
      </c>
      <c r="I173" s="1" t="s">
        <v>2393</v>
      </c>
      <c r="J173" s="1" t="s">
        <v>94</v>
      </c>
      <c r="K173" s="1" t="s">
        <v>2394</v>
      </c>
      <c r="L173" s="1">
        <v>594</v>
      </c>
    </row>
    <row r="174" spans="1:12" ht="42.75" x14ac:dyDescent="0.2">
      <c r="B174" s="1" t="s">
        <v>931</v>
      </c>
      <c r="C174" s="1">
        <v>6</v>
      </c>
      <c r="D174" s="1" t="s">
        <v>945</v>
      </c>
      <c r="E174" s="1" t="s">
        <v>1550</v>
      </c>
      <c r="F174" s="1" t="s">
        <v>2395</v>
      </c>
      <c r="G174" s="1" t="s">
        <v>2396</v>
      </c>
      <c r="H174" s="1" t="s">
        <v>2397</v>
      </c>
      <c r="I174" s="1" t="s">
        <v>2396</v>
      </c>
      <c r="J174" s="1" t="s">
        <v>88</v>
      </c>
      <c r="K174" s="1" t="s">
        <v>2398</v>
      </c>
      <c r="L174" s="1">
        <v>320</v>
      </c>
    </row>
    <row r="175" spans="1:12" ht="42.75" x14ac:dyDescent="0.2">
      <c r="B175" s="1" t="s">
        <v>931</v>
      </c>
      <c r="C175" s="1">
        <v>6</v>
      </c>
      <c r="D175" s="1" t="s">
        <v>932</v>
      </c>
      <c r="E175" s="1" t="s">
        <v>2399</v>
      </c>
      <c r="F175" s="1" t="s">
        <v>2400</v>
      </c>
      <c r="G175" s="1" t="s">
        <v>2401</v>
      </c>
      <c r="H175" s="1" t="s">
        <v>2402</v>
      </c>
      <c r="I175" s="1" t="s">
        <v>2401</v>
      </c>
      <c r="J175" s="1" t="s">
        <v>1936</v>
      </c>
      <c r="K175" s="1" t="s">
        <v>2402</v>
      </c>
      <c r="L175" s="1">
        <v>379</v>
      </c>
    </row>
    <row r="176" spans="1:12" ht="28.5" x14ac:dyDescent="0.2">
      <c r="B176" s="1" t="s">
        <v>931</v>
      </c>
      <c r="C176" s="1">
        <v>6</v>
      </c>
      <c r="D176" s="1" t="s">
        <v>950</v>
      </c>
      <c r="E176" s="1" t="s">
        <v>1294</v>
      </c>
      <c r="F176" s="1" t="s">
        <v>2403</v>
      </c>
      <c r="G176" s="1" t="s">
        <v>711</v>
      </c>
      <c r="H176" s="1" t="s">
        <v>2404</v>
      </c>
      <c r="I176" s="1" t="s">
        <v>1294</v>
      </c>
      <c r="J176" s="1" t="s">
        <v>94</v>
      </c>
      <c r="K176" s="1" t="s">
        <v>2403</v>
      </c>
      <c r="L176" s="1">
        <v>413</v>
      </c>
    </row>
    <row r="177" spans="1:12" ht="42.75" x14ac:dyDescent="0.2">
      <c r="B177" s="1" t="s">
        <v>931</v>
      </c>
      <c r="C177" s="1">
        <v>6</v>
      </c>
      <c r="D177" s="1" t="s">
        <v>2405</v>
      </c>
      <c r="E177" s="1" t="s">
        <v>785</v>
      </c>
      <c r="F177" s="1" t="s">
        <v>2406</v>
      </c>
      <c r="G177" s="1" t="s">
        <v>2407</v>
      </c>
      <c r="H177" s="1" t="s">
        <v>2408</v>
      </c>
      <c r="I177" s="1" t="s">
        <v>785</v>
      </c>
      <c r="J177" s="1" t="s">
        <v>94</v>
      </c>
      <c r="K177" s="1" t="s">
        <v>2406</v>
      </c>
      <c r="L177" s="1">
        <v>500</v>
      </c>
    </row>
    <row r="178" spans="1:12" ht="42.75" x14ac:dyDescent="0.2">
      <c r="B178" s="1" t="s">
        <v>931</v>
      </c>
      <c r="C178" s="1">
        <v>6</v>
      </c>
      <c r="D178" s="1" t="s">
        <v>955</v>
      </c>
      <c r="E178" s="1" t="s">
        <v>1264</v>
      </c>
      <c r="F178" s="1" t="s">
        <v>2409</v>
      </c>
      <c r="G178" s="1" t="s">
        <v>725</v>
      </c>
      <c r="H178" s="1" t="s">
        <v>2410</v>
      </c>
      <c r="I178" s="1" t="s">
        <v>1264</v>
      </c>
      <c r="J178" s="1" t="s">
        <v>88</v>
      </c>
      <c r="K178" s="1" t="s">
        <v>2411</v>
      </c>
    </row>
    <row r="179" spans="1:12" ht="42.75" x14ac:dyDescent="0.2">
      <c r="B179" s="1" t="s">
        <v>931</v>
      </c>
      <c r="C179" s="1">
        <v>6</v>
      </c>
      <c r="D179" s="1" t="s">
        <v>960</v>
      </c>
      <c r="E179" s="1" t="s">
        <v>725</v>
      </c>
      <c r="F179" s="1" t="s">
        <v>2412</v>
      </c>
      <c r="G179" s="1" t="s">
        <v>1523</v>
      </c>
      <c r="H179" s="1" t="s">
        <v>2413</v>
      </c>
      <c r="I179" s="1" t="s">
        <v>1523</v>
      </c>
      <c r="J179" s="1" t="s">
        <v>94</v>
      </c>
      <c r="K179" s="1" t="s">
        <v>2413</v>
      </c>
    </row>
    <row r="180" spans="1:12" ht="42.75" x14ac:dyDescent="0.2">
      <c r="A180" s="1">
        <v>1</v>
      </c>
      <c r="B180" s="1" t="s">
        <v>931</v>
      </c>
      <c r="C180" s="1">
        <v>7</v>
      </c>
      <c r="D180" s="1" t="s">
        <v>941</v>
      </c>
      <c r="E180" s="1" t="s">
        <v>2414</v>
      </c>
      <c r="F180" s="1" t="s">
        <v>2415</v>
      </c>
      <c r="G180" s="1" t="s">
        <v>2416</v>
      </c>
      <c r="H180" s="1" t="s">
        <v>2417</v>
      </c>
      <c r="I180" s="1" t="s">
        <v>2416</v>
      </c>
      <c r="J180" s="1" t="s">
        <v>94</v>
      </c>
      <c r="K180" s="1" t="s">
        <v>2418</v>
      </c>
    </row>
    <row r="181" spans="1:12" ht="42.75" x14ac:dyDescent="0.2">
      <c r="B181" s="1" t="s">
        <v>931</v>
      </c>
      <c r="C181" s="1">
        <v>8</v>
      </c>
      <c r="D181" s="1" t="s">
        <v>964</v>
      </c>
      <c r="E181" s="1" t="s">
        <v>2419</v>
      </c>
      <c r="F181" s="1" t="s">
        <v>2420</v>
      </c>
      <c r="G181" s="1" t="s">
        <v>2181</v>
      </c>
      <c r="H181" s="1" t="s">
        <v>2421</v>
      </c>
      <c r="I181" s="1" t="s">
        <v>806</v>
      </c>
      <c r="J181" s="1" t="s">
        <v>94</v>
      </c>
      <c r="K181" s="1" t="s">
        <v>2422</v>
      </c>
    </row>
    <row r="182" spans="1:12" ht="28.5" x14ac:dyDescent="0.2">
      <c r="B182" s="1" t="s">
        <v>971</v>
      </c>
      <c r="C182" s="1">
        <v>6</v>
      </c>
      <c r="D182" s="1" t="s">
        <v>972</v>
      </c>
      <c r="E182" s="1" t="s">
        <v>1471</v>
      </c>
      <c r="F182" s="1" t="s">
        <v>2423</v>
      </c>
      <c r="G182" s="1" t="s">
        <v>2424</v>
      </c>
      <c r="H182" s="1" t="s">
        <v>2425</v>
      </c>
      <c r="I182" s="1" t="s">
        <v>711</v>
      </c>
      <c r="J182" s="1" t="s">
        <v>94</v>
      </c>
      <c r="K182" s="1" t="s">
        <v>2426</v>
      </c>
      <c r="L182" s="1">
        <v>318</v>
      </c>
    </row>
    <row r="183" spans="1:12" ht="57" x14ac:dyDescent="0.2">
      <c r="B183" s="1" t="s">
        <v>971</v>
      </c>
      <c r="C183" s="1">
        <v>6</v>
      </c>
      <c r="D183" s="1" t="s">
        <v>976</v>
      </c>
      <c r="E183" s="1" t="s">
        <v>138</v>
      </c>
      <c r="F183" s="1" t="s">
        <v>2427</v>
      </c>
      <c r="G183" s="1" t="s">
        <v>628</v>
      </c>
      <c r="H183" s="1" t="s">
        <v>2428</v>
      </c>
      <c r="I183" s="1" t="s">
        <v>2429</v>
      </c>
      <c r="J183" s="1" t="s">
        <v>88</v>
      </c>
      <c r="K183" s="1" t="s">
        <v>2430</v>
      </c>
      <c r="L183" s="1">
        <v>339</v>
      </c>
    </row>
    <row r="184" spans="1:12" ht="42.75" x14ac:dyDescent="0.2">
      <c r="B184" s="1" t="s">
        <v>971</v>
      </c>
      <c r="C184" s="1">
        <v>7</v>
      </c>
      <c r="D184" s="1" t="s">
        <v>984</v>
      </c>
      <c r="E184" s="1" t="s">
        <v>2431</v>
      </c>
      <c r="F184" s="1" t="s">
        <v>2432</v>
      </c>
      <c r="G184" s="1" t="s">
        <v>1148</v>
      </c>
      <c r="H184" s="1" t="s">
        <v>2433</v>
      </c>
      <c r="I184" s="1" t="s">
        <v>1148</v>
      </c>
      <c r="J184" s="1" t="s">
        <v>94</v>
      </c>
      <c r="K184" s="1" t="s">
        <v>2433</v>
      </c>
      <c r="L184" s="1">
        <v>352</v>
      </c>
    </row>
    <row r="185" spans="1:12" ht="42.75" x14ac:dyDescent="0.2">
      <c r="B185" s="1" t="s">
        <v>971</v>
      </c>
      <c r="C185" s="1">
        <v>7</v>
      </c>
      <c r="D185" s="1" t="s">
        <v>980</v>
      </c>
      <c r="E185" s="1" t="s">
        <v>2434</v>
      </c>
      <c r="F185" s="1" t="s">
        <v>2435</v>
      </c>
      <c r="G185" s="1" t="s">
        <v>2436</v>
      </c>
      <c r="H185" s="1" t="s">
        <v>2437</v>
      </c>
      <c r="I185" s="1" t="s">
        <v>2436</v>
      </c>
      <c r="J185" s="1" t="s">
        <v>88</v>
      </c>
      <c r="K185" s="1" t="s">
        <v>2438</v>
      </c>
    </row>
    <row r="186" spans="1:12" ht="42.75" x14ac:dyDescent="0.2">
      <c r="B186" s="1" t="s">
        <v>971</v>
      </c>
      <c r="C186" s="1">
        <v>8</v>
      </c>
      <c r="D186" s="1" t="s">
        <v>993</v>
      </c>
      <c r="E186" s="1" t="s">
        <v>2439</v>
      </c>
      <c r="F186" s="1" t="s">
        <v>2440</v>
      </c>
      <c r="G186" s="1" t="s">
        <v>2441</v>
      </c>
      <c r="H186" s="1" t="s">
        <v>2442</v>
      </c>
      <c r="I186" s="1" t="s">
        <v>2441</v>
      </c>
      <c r="J186" s="1" t="s">
        <v>94</v>
      </c>
      <c r="K186" s="1" t="s">
        <v>2443</v>
      </c>
      <c r="L186" s="1">
        <v>396</v>
      </c>
    </row>
    <row r="187" spans="1:12" ht="28.5" x14ac:dyDescent="0.2">
      <c r="B187" s="1" t="s">
        <v>971</v>
      </c>
      <c r="C187" s="1">
        <v>8</v>
      </c>
      <c r="D187" s="1" t="s">
        <v>988</v>
      </c>
      <c r="E187" s="1" t="s">
        <v>330</v>
      </c>
      <c r="F187" s="1" t="s">
        <v>2444</v>
      </c>
      <c r="G187" s="1" t="s">
        <v>1577</v>
      </c>
      <c r="H187" s="1" t="s">
        <v>2445</v>
      </c>
      <c r="I187" s="1" t="s">
        <v>330</v>
      </c>
      <c r="J187" s="1" t="s">
        <v>94</v>
      </c>
      <c r="K187" s="1" t="s">
        <v>2446</v>
      </c>
    </row>
    <row r="188" spans="1:12" ht="42.75" x14ac:dyDescent="0.2">
      <c r="B188" s="1" t="s">
        <v>971</v>
      </c>
      <c r="C188" s="1">
        <v>9</v>
      </c>
      <c r="D188" s="1" t="s">
        <v>1749</v>
      </c>
      <c r="E188" s="1" t="s">
        <v>883</v>
      </c>
      <c r="F188" s="1" t="s">
        <v>2447</v>
      </c>
      <c r="G188" s="1" t="s">
        <v>186</v>
      </c>
      <c r="H188" s="1" t="s">
        <v>2448</v>
      </c>
      <c r="I188" s="1" t="s">
        <v>883</v>
      </c>
      <c r="J188" s="1" t="s">
        <v>88</v>
      </c>
      <c r="K188" s="1" t="s">
        <v>2449</v>
      </c>
      <c r="L188" s="1">
        <v>282</v>
      </c>
    </row>
    <row r="189" spans="1:12" ht="71.25" x14ac:dyDescent="0.2">
      <c r="B189" s="1" t="s">
        <v>1000</v>
      </c>
      <c r="C189" s="1">
        <v>6</v>
      </c>
      <c r="D189" s="1" t="s">
        <v>1006</v>
      </c>
      <c r="E189" s="1" t="s">
        <v>1233</v>
      </c>
      <c r="F189" s="1" t="s">
        <v>2450</v>
      </c>
      <c r="G189" s="1" t="s">
        <v>1814</v>
      </c>
      <c r="H189" s="1" t="s">
        <v>2451</v>
      </c>
      <c r="I189" s="1" t="s">
        <v>1233</v>
      </c>
      <c r="J189" s="1" t="s">
        <v>94</v>
      </c>
      <c r="K189" s="1" t="s">
        <v>2452</v>
      </c>
      <c r="L189" s="1">
        <v>365</v>
      </c>
    </row>
    <row r="190" spans="1:12" ht="42.75" x14ac:dyDescent="0.2">
      <c r="B190" s="1" t="s">
        <v>1000</v>
      </c>
      <c r="C190" s="1">
        <v>6</v>
      </c>
      <c r="D190" s="1" t="s">
        <v>1011</v>
      </c>
      <c r="E190" s="1" t="s">
        <v>2453</v>
      </c>
      <c r="F190" s="1" t="s">
        <v>2454</v>
      </c>
      <c r="G190" s="1" t="s">
        <v>125</v>
      </c>
      <c r="H190" s="1" t="s">
        <v>2455</v>
      </c>
      <c r="I190" s="1" t="s">
        <v>125</v>
      </c>
      <c r="J190" s="1" t="s">
        <v>88</v>
      </c>
      <c r="K190" s="1" t="s">
        <v>2455</v>
      </c>
      <c r="L190" s="1">
        <v>351</v>
      </c>
    </row>
    <row r="191" spans="1:12" ht="57" x14ac:dyDescent="0.2">
      <c r="B191" s="1" t="s">
        <v>1000</v>
      </c>
      <c r="C191" s="1">
        <v>9</v>
      </c>
      <c r="D191" s="1" t="s">
        <v>2456</v>
      </c>
      <c r="E191" s="1" t="s">
        <v>2457</v>
      </c>
      <c r="F191" s="1" t="s">
        <v>2458</v>
      </c>
      <c r="G191" s="1" t="s">
        <v>2459</v>
      </c>
      <c r="H191" s="1" t="s">
        <v>2460</v>
      </c>
      <c r="I191" s="1" t="s">
        <v>2459</v>
      </c>
      <c r="J191" s="1" t="s">
        <v>94</v>
      </c>
      <c r="K191" s="1" t="s">
        <v>2461</v>
      </c>
      <c r="L191" s="1">
        <v>585</v>
      </c>
    </row>
  </sheetData>
  <autoFilter ref="A1:L191" xr:uid="{00000000-0009-0000-0000-000003000000}"/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4"/>
  <sheetViews>
    <sheetView topLeftCell="B3" zoomScaleNormal="100" workbookViewId="0">
      <selection activeCell="G10" sqref="G10"/>
    </sheetView>
  </sheetViews>
  <sheetFormatPr defaultColWidth="8.625" defaultRowHeight="14.25" x14ac:dyDescent="0.2"/>
  <cols>
    <col min="1" max="1" width="6.875" style="1" hidden="1" customWidth="1"/>
    <col min="2" max="2" width="5.125" style="1" customWidth="1"/>
    <col min="3" max="3" width="16.875" style="1" customWidth="1"/>
    <col min="4" max="4" width="10.125" style="1" customWidth="1"/>
    <col min="5" max="5" width="33.125" style="1" customWidth="1"/>
    <col min="6" max="6" width="9.75" style="1" customWidth="1"/>
    <col min="7" max="7" width="31.375" style="1" customWidth="1"/>
    <col min="8" max="8" width="11.5" style="1" customWidth="1"/>
    <col min="9" max="9" width="6.375" style="1" customWidth="1"/>
    <col min="10" max="10" width="25.625" style="1" customWidth="1"/>
    <col min="11" max="11" width="5.875" style="1" customWidth="1"/>
    <col min="12" max="16384" width="8.625" style="1"/>
  </cols>
  <sheetData>
    <row r="1" spans="1:11" ht="28.5" x14ac:dyDescent="0.2">
      <c r="A1" s="1" t="s">
        <v>70</v>
      </c>
      <c r="B1" s="1" t="s">
        <v>71</v>
      </c>
      <c r="C1" s="1" t="s">
        <v>72</v>
      </c>
      <c r="D1" s="1" t="s">
        <v>73</v>
      </c>
      <c r="F1" s="1" t="s">
        <v>75</v>
      </c>
      <c r="H1" s="1" t="s">
        <v>78</v>
      </c>
      <c r="I1" s="1" t="s">
        <v>79</v>
      </c>
      <c r="K1" s="1" t="s">
        <v>81</v>
      </c>
    </row>
    <row r="2" spans="1:11" ht="28.5" x14ac:dyDescent="0.2">
      <c r="A2" s="1" t="s">
        <v>82</v>
      </c>
      <c r="B2" s="1">
        <v>7</v>
      </c>
      <c r="C2" s="1" t="s">
        <v>83</v>
      </c>
      <c r="D2" s="1" t="s">
        <v>868</v>
      </c>
      <c r="E2" s="1" t="s">
        <v>2462</v>
      </c>
      <c r="F2" s="1" t="s">
        <v>2463</v>
      </c>
      <c r="G2" s="1" t="s">
        <v>2464</v>
      </c>
      <c r="H2" s="1" t="s">
        <v>2465</v>
      </c>
      <c r="I2" s="1" t="s">
        <v>88</v>
      </c>
      <c r="J2" s="1" t="s">
        <v>2466</v>
      </c>
      <c r="K2" s="1">
        <v>140</v>
      </c>
    </row>
    <row r="3" spans="1:11" ht="28.5" x14ac:dyDescent="0.2">
      <c r="A3" s="1" t="s">
        <v>82</v>
      </c>
      <c r="B3" s="1">
        <v>7</v>
      </c>
      <c r="C3" s="1" t="s">
        <v>95</v>
      </c>
      <c r="D3" s="1" t="s">
        <v>3046</v>
      </c>
      <c r="E3" s="1" t="s">
        <v>3047</v>
      </c>
      <c r="F3" s="1" t="s">
        <v>3048</v>
      </c>
      <c r="G3" s="1" t="s">
        <v>3049</v>
      </c>
      <c r="H3" s="1" t="s">
        <v>3048</v>
      </c>
      <c r="I3" s="1" t="s">
        <v>3050</v>
      </c>
      <c r="J3" s="1" t="s">
        <v>3049</v>
      </c>
      <c r="K3" s="1">
        <v>151</v>
      </c>
    </row>
    <row r="4" spans="1:11" ht="28.5" x14ac:dyDescent="0.2">
      <c r="A4" s="1" t="s">
        <v>82</v>
      </c>
      <c r="B4" s="1">
        <v>7</v>
      </c>
      <c r="C4" s="1" t="s">
        <v>2467</v>
      </c>
      <c r="D4" s="1" t="s">
        <v>364</v>
      </c>
      <c r="E4" s="1" t="s">
        <v>2468</v>
      </c>
      <c r="F4" s="1" t="s">
        <v>2469</v>
      </c>
      <c r="G4" s="1" t="s">
        <v>2470</v>
      </c>
      <c r="H4" s="1" t="s">
        <v>364</v>
      </c>
      <c r="I4" s="1" t="s">
        <v>88</v>
      </c>
      <c r="J4" s="1" t="s">
        <v>2468</v>
      </c>
      <c r="K4" s="1">
        <v>184</v>
      </c>
    </row>
    <row r="5" spans="1:11" ht="28.5" x14ac:dyDescent="0.2">
      <c r="A5" s="1" t="s">
        <v>82</v>
      </c>
      <c r="B5" s="1">
        <v>7</v>
      </c>
      <c r="C5" s="1" t="s">
        <v>100</v>
      </c>
      <c r="D5" s="1" t="s">
        <v>2471</v>
      </c>
      <c r="E5" s="1" t="s">
        <v>2472</v>
      </c>
      <c r="F5" s="1" t="s">
        <v>2465</v>
      </c>
      <c r="G5" s="1" t="s">
        <v>2473</v>
      </c>
      <c r="H5" s="1" t="s">
        <v>2465</v>
      </c>
      <c r="I5" s="1" t="s">
        <v>88</v>
      </c>
      <c r="J5" s="1" t="s">
        <v>2473</v>
      </c>
      <c r="K5" s="1">
        <v>175</v>
      </c>
    </row>
    <row r="6" spans="1:11" ht="28.5" x14ac:dyDescent="0.2">
      <c r="A6" s="1" t="s">
        <v>82</v>
      </c>
      <c r="B6" s="1">
        <v>8</v>
      </c>
      <c r="C6" s="1" t="s">
        <v>122</v>
      </c>
      <c r="D6" s="1" t="s">
        <v>3051</v>
      </c>
      <c r="E6" s="1" t="s">
        <v>3052</v>
      </c>
      <c r="F6" s="1" t="s">
        <v>3053</v>
      </c>
      <c r="G6" s="1" t="s">
        <v>3054</v>
      </c>
      <c r="H6" s="1" t="s">
        <v>3051</v>
      </c>
      <c r="I6" s="1" t="s">
        <v>3055</v>
      </c>
      <c r="J6" s="1" t="s">
        <v>3052</v>
      </c>
      <c r="K6" s="1">
        <v>237</v>
      </c>
    </row>
    <row r="7" spans="1:11" ht="28.5" x14ac:dyDescent="0.2">
      <c r="A7" s="1" t="s">
        <v>82</v>
      </c>
      <c r="B7" s="1">
        <v>9</v>
      </c>
      <c r="C7" s="1" t="s">
        <v>132</v>
      </c>
      <c r="D7" s="1" t="s">
        <v>225</v>
      </c>
      <c r="E7" s="1" t="s">
        <v>2474</v>
      </c>
      <c r="F7" s="1" t="s">
        <v>1143</v>
      </c>
      <c r="G7" s="1" t="s">
        <v>2475</v>
      </c>
      <c r="H7" s="1" t="s">
        <v>225</v>
      </c>
      <c r="I7" s="1" t="s">
        <v>94</v>
      </c>
      <c r="J7" s="1" t="s">
        <v>2474</v>
      </c>
      <c r="K7" s="1">
        <v>233</v>
      </c>
    </row>
    <row r="8" spans="1:11" ht="42.75" x14ac:dyDescent="0.2">
      <c r="A8" s="1" t="s">
        <v>82</v>
      </c>
      <c r="B8" s="1">
        <v>10</v>
      </c>
      <c r="C8" s="1" t="s">
        <v>2476</v>
      </c>
      <c r="D8" s="1" t="s">
        <v>2155</v>
      </c>
      <c r="E8" s="1" t="s">
        <v>2477</v>
      </c>
      <c r="F8" s="1" t="s">
        <v>2478</v>
      </c>
      <c r="G8" s="1" t="s">
        <v>2479</v>
      </c>
      <c r="H8" s="1" t="s">
        <v>2478</v>
      </c>
      <c r="I8" s="1" t="s">
        <v>94</v>
      </c>
      <c r="J8" s="1" t="s">
        <v>2479</v>
      </c>
      <c r="K8" s="1">
        <v>389</v>
      </c>
    </row>
    <row r="9" spans="1:11" x14ac:dyDescent="0.2">
      <c r="A9" s="1" t="s">
        <v>82</v>
      </c>
      <c r="B9" s="1">
        <v>10</v>
      </c>
      <c r="C9" s="1" t="s">
        <v>117</v>
      </c>
      <c r="D9" s="1" t="s">
        <v>2480</v>
      </c>
      <c r="E9" s="1" t="s">
        <v>2481</v>
      </c>
      <c r="F9" s="1" t="s">
        <v>1301</v>
      </c>
      <c r="G9" s="1" t="s">
        <v>2482</v>
      </c>
      <c r="H9" s="1" t="s">
        <v>1301</v>
      </c>
      <c r="I9" s="1" t="s">
        <v>94</v>
      </c>
      <c r="J9" s="1" t="s">
        <v>2482</v>
      </c>
      <c r="K9" s="1">
        <v>264</v>
      </c>
    </row>
    <row r="10" spans="1:11" ht="42.75" x14ac:dyDescent="0.2">
      <c r="A10" s="1" t="s">
        <v>82</v>
      </c>
      <c r="B10" s="1">
        <v>10</v>
      </c>
      <c r="C10" s="1" t="s">
        <v>137</v>
      </c>
      <c r="D10" s="1" t="s">
        <v>3151</v>
      </c>
      <c r="E10" s="1" t="s">
        <v>3056</v>
      </c>
      <c r="H10" s="1" t="s">
        <v>3057</v>
      </c>
      <c r="I10" s="1" t="s">
        <v>94</v>
      </c>
      <c r="J10" s="1" t="s">
        <v>3058</v>
      </c>
      <c r="K10" s="1">
        <v>317</v>
      </c>
    </row>
    <row r="11" spans="1:11" ht="28.5" x14ac:dyDescent="0.2">
      <c r="A11" s="1" t="s">
        <v>82</v>
      </c>
      <c r="B11" s="1">
        <v>10</v>
      </c>
      <c r="C11" s="1" t="s">
        <v>112</v>
      </c>
      <c r="D11" s="1" t="s">
        <v>2483</v>
      </c>
      <c r="E11" s="1" t="s">
        <v>2484</v>
      </c>
      <c r="F11" s="1" t="s">
        <v>205</v>
      </c>
      <c r="G11" s="1" t="s">
        <v>2485</v>
      </c>
      <c r="H11" s="1" t="s">
        <v>205</v>
      </c>
      <c r="I11" s="1" t="s">
        <v>94</v>
      </c>
      <c r="J11" s="1" t="s">
        <v>2485</v>
      </c>
      <c r="K11" s="1">
        <v>311</v>
      </c>
    </row>
    <row r="12" spans="1:11" ht="28.5" x14ac:dyDescent="0.2">
      <c r="A12" s="1" t="s">
        <v>82</v>
      </c>
      <c r="B12" s="1">
        <v>10</v>
      </c>
      <c r="C12" s="1" t="s">
        <v>127</v>
      </c>
      <c r="D12" s="1" t="s">
        <v>128</v>
      </c>
      <c r="E12" s="1" t="s">
        <v>2486</v>
      </c>
      <c r="F12" s="1" t="s">
        <v>1469</v>
      </c>
      <c r="G12" s="1" t="s">
        <v>2487</v>
      </c>
      <c r="H12" s="1" t="s">
        <v>128</v>
      </c>
      <c r="I12" s="1" t="s">
        <v>94</v>
      </c>
      <c r="J12" s="1" t="s">
        <v>2486</v>
      </c>
      <c r="K12" s="1">
        <v>305</v>
      </c>
    </row>
    <row r="13" spans="1:11" ht="28.5" x14ac:dyDescent="0.2">
      <c r="A13" s="1" t="s">
        <v>82</v>
      </c>
      <c r="B13" s="1">
        <v>10</v>
      </c>
      <c r="C13" s="1" t="s">
        <v>105</v>
      </c>
      <c r="D13" s="1" t="s">
        <v>1200</v>
      </c>
      <c r="E13" s="1" t="s">
        <v>2488</v>
      </c>
      <c r="F13" s="1" t="s">
        <v>1639</v>
      </c>
      <c r="G13" s="1" t="s">
        <v>2489</v>
      </c>
      <c r="H13" s="1" t="s">
        <v>1200</v>
      </c>
      <c r="I13" s="1" t="s">
        <v>94</v>
      </c>
      <c r="J13" s="1" t="s">
        <v>2488</v>
      </c>
      <c r="K13" s="1">
        <v>423</v>
      </c>
    </row>
    <row r="14" spans="1:11" ht="28.5" x14ac:dyDescent="0.2">
      <c r="A14" s="1" t="s">
        <v>142</v>
      </c>
      <c r="B14" s="1">
        <v>6</v>
      </c>
      <c r="C14" s="1" t="s">
        <v>2490</v>
      </c>
      <c r="D14" s="1" t="s">
        <v>585</v>
      </c>
      <c r="E14" s="1" t="s">
        <v>2491</v>
      </c>
      <c r="F14" s="1" t="s">
        <v>2492</v>
      </c>
      <c r="G14" s="1" t="s">
        <v>2493</v>
      </c>
      <c r="H14" s="1" t="s">
        <v>2492</v>
      </c>
      <c r="I14" s="1" t="s">
        <v>88</v>
      </c>
      <c r="J14" s="1" t="s">
        <v>2491</v>
      </c>
      <c r="K14" s="1">
        <v>126</v>
      </c>
    </row>
    <row r="15" spans="1:11" ht="28.5" x14ac:dyDescent="0.2">
      <c r="A15" s="1" t="s">
        <v>142</v>
      </c>
      <c r="B15" s="1">
        <v>6</v>
      </c>
      <c r="C15" s="1" t="s">
        <v>2494</v>
      </c>
      <c r="D15" s="1" t="s">
        <v>2495</v>
      </c>
      <c r="E15" s="1" t="s">
        <v>3060</v>
      </c>
      <c r="F15" s="1" t="s">
        <v>2431</v>
      </c>
      <c r="G15" s="1" t="s">
        <v>3059</v>
      </c>
      <c r="H15" s="1" t="s">
        <v>2495</v>
      </c>
      <c r="I15" s="1" t="s">
        <v>88</v>
      </c>
      <c r="J15" s="1" t="s">
        <v>2496</v>
      </c>
      <c r="K15" s="1">
        <v>187</v>
      </c>
    </row>
    <row r="16" spans="1:11" ht="42.75" x14ac:dyDescent="0.2">
      <c r="A16" s="1" t="s">
        <v>142</v>
      </c>
      <c r="B16" s="1">
        <v>6</v>
      </c>
      <c r="C16" s="1" t="s">
        <v>150</v>
      </c>
      <c r="D16" s="1" t="s">
        <v>2222</v>
      </c>
      <c r="E16" s="1" t="s">
        <v>2497</v>
      </c>
      <c r="F16" s="1" t="s">
        <v>2498</v>
      </c>
      <c r="G16" s="1" t="s">
        <v>2499</v>
      </c>
      <c r="H16" s="1" t="s">
        <v>2498</v>
      </c>
      <c r="I16" s="1" t="s">
        <v>88</v>
      </c>
      <c r="J16" s="1" t="s">
        <v>2499</v>
      </c>
      <c r="K16" s="1">
        <v>153</v>
      </c>
    </row>
    <row r="17" spans="1:12" ht="57" x14ac:dyDescent="0.2">
      <c r="A17" s="1" t="s">
        <v>142</v>
      </c>
      <c r="B17" s="1">
        <v>8</v>
      </c>
      <c r="C17" s="1" t="s">
        <v>161</v>
      </c>
      <c r="D17" s="1" t="s">
        <v>364</v>
      </c>
      <c r="E17" s="1" t="s">
        <v>2500</v>
      </c>
      <c r="F17" s="1" t="s">
        <v>1426</v>
      </c>
      <c r="G17" s="1" t="s">
        <v>2501</v>
      </c>
      <c r="H17" s="1" t="s">
        <v>364</v>
      </c>
      <c r="I17" s="1" t="s">
        <v>94</v>
      </c>
      <c r="J17" s="1" t="s">
        <v>2500</v>
      </c>
      <c r="K17" s="1">
        <v>198</v>
      </c>
    </row>
    <row r="18" spans="1:12" x14ac:dyDescent="0.2">
      <c r="A18" s="1" t="s">
        <v>142</v>
      </c>
      <c r="B18" s="1">
        <v>8</v>
      </c>
      <c r="C18" s="1" t="s">
        <v>155</v>
      </c>
      <c r="D18" s="1" t="s">
        <v>2502</v>
      </c>
      <c r="E18" s="1" t="s">
        <v>2503</v>
      </c>
      <c r="F18" s="1" t="s">
        <v>2469</v>
      </c>
      <c r="G18" s="1" t="s">
        <v>2504</v>
      </c>
      <c r="H18" s="1" t="s">
        <v>2469</v>
      </c>
      <c r="I18" s="1" t="s">
        <v>88</v>
      </c>
      <c r="J18" s="1" t="s">
        <v>2504</v>
      </c>
      <c r="K18" s="1">
        <v>171</v>
      </c>
    </row>
    <row r="19" spans="1:12" x14ac:dyDescent="0.2">
      <c r="A19" s="1" t="s">
        <v>142</v>
      </c>
      <c r="B19" s="1">
        <v>8</v>
      </c>
      <c r="C19" s="1" t="s">
        <v>143</v>
      </c>
      <c r="D19" s="1" t="s">
        <v>2431</v>
      </c>
      <c r="E19" s="1" t="s">
        <v>2505</v>
      </c>
      <c r="F19" s="1" t="s">
        <v>1108</v>
      </c>
      <c r="G19" s="1" t="s">
        <v>2506</v>
      </c>
      <c r="H19" s="1" t="s">
        <v>1108</v>
      </c>
      <c r="I19" s="1" t="s">
        <v>88</v>
      </c>
      <c r="J19" s="1" t="s">
        <v>2506</v>
      </c>
      <c r="K19" s="1">
        <v>209</v>
      </c>
    </row>
    <row r="20" spans="1:12" ht="42.75" x14ac:dyDescent="0.2">
      <c r="A20" s="1" t="s">
        <v>142</v>
      </c>
      <c r="B20" s="1">
        <v>9</v>
      </c>
      <c r="C20" s="1" t="s">
        <v>171</v>
      </c>
      <c r="D20" s="1" t="s">
        <v>2507</v>
      </c>
      <c r="E20" s="1" t="s">
        <v>2508</v>
      </c>
      <c r="F20" s="1" t="s">
        <v>592</v>
      </c>
      <c r="G20" s="1" t="s">
        <v>2509</v>
      </c>
      <c r="H20" s="1" t="s">
        <v>2507</v>
      </c>
      <c r="I20" s="1" t="s">
        <v>94</v>
      </c>
      <c r="J20" s="1" t="s">
        <v>2508</v>
      </c>
      <c r="K20" s="1">
        <v>221</v>
      </c>
    </row>
    <row r="21" spans="1:12" ht="42.75" x14ac:dyDescent="0.2">
      <c r="A21" s="1" t="s">
        <v>142</v>
      </c>
      <c r="B21" s="1">
        <v>9</v>
      </c>
      <c r="C21" s="1" t="s">
        <v>166</v>
      </c>
      <c r="D21" s="1" t="s">
        <v>2492</v>
      </c>
      <c r="E21" s="1" t="s">
        <v>2510</v>
      </c>
      <c r="F21" s="1" t="s">
        <v>974</v>
      </c>
      <c r="G21" s="1" t="s">
        <v>2511</v>
      </c>
      <c r="H21" s="1" t="s">
        <v>2492</v>
      </c>
      <c r="I21" s="1" t="s">
        <v>88</v>
      </c>
      <c r="J21" s="1" t="s">
        <v>2510</v>
      </c>
      <c r="K21" s="1">
        <v>238</v>
      </c>
    </row>
    <row r="22" spans="1:12" x14ac:dyDescent="0.2">
      <c r="A22" s="1" t="s">
        <v>142</v>
      </c>
      <c r="B22" s="1">
        <v>10</v>
      </c>
      <c r="C22" s="1" t="s">
        <v>1083</v>
      </c>
      <c r="D22" s="1" t="s">
        <v>1525</v>
      </c>
      <c r="E22" s="1" t="s">
        <v>2512</v>
      </c>
      <c r="F22" s="1" t="s">
        <v>1032</v>
      </c>
      <c r="G22" s="1" t="s">
        <v>2513</v>
      </c>
      <c r="H22" s="1" t="s">
        <v>1525</v>
      </c>
      <c r="I22" s="1" t="s">
        <v>94</v>
      </c>
      <c r="J22" s="1" t="s">
        <v>2512</v>
      </c>
      <c r="K22" s="1">
        <v>493</v>
      </c>
    </row>
    <row r="23" spans="1:12" ht="42.75" x14ac:dyDescent="0.2">
      <c r="A23" s="1" t="s">
        <v>177</v>
      </c>
      <c r="B23" s="1">
        <v>6</v>
      </c>
      <c r="C23" s="1" t="s">
        <v>178</v>
      </c>
      <c r="D23" s="1" t="s">
        <v>3061</v>
      </c>
      <c r="E23" s="1" t="s">
        <v>3062</v>
      </c>
      <c r="F23" s="1" t="s">
        <v>3063</v>
      </c>
      <c r="G23" s="1" t="s">
        <v>3064</v>
      </c>
      <c r="H23" s="1" t="s">
        <v>3063</v>
      </c>
      <c r="I23" s="1" t="s">
        <v>3055</v>
      </c>
      <c r="J23" s="1" t="s">
        <v>3064</v>
      </c>
      <c r="K23" s="1">
        <v>205</v>
      </c>
    </row>
    <row r="24" spans="1:12" x14ac:dyDescent="0.2">
      <c r="A24" s="1" t="s">
        <v>177</v>
      </c>
      <c r="B24" s="1">
        <v>6</v>
      </c>
      <c r="C24" s="1" t="s">
        <v>2514</v>
      </c>
      <c r="D24" s="1" t="s">
        <v>2515</v>
      </c>
      <c r="E24" s="1" t="s">
        <v>2516</v>
      </c>
      <c r="F24" s="1" t="s">
        <v>587</v>
      </c>
      <c r="G24" s="1" t="s">
        <v>2517</v>
      </c>
      <c r="H24" s="1" t="s">
        <v>2515</v>
      </c>
      <c r="I24" s="1" t="s">
        <v>88</v>
      </c>
      <c r="J24" s="1" t="s">
        <v>2516</v>
      </c>
      <c r="K24" s="1">
        <v>206</v>
      </c>
    </row>
    <row r="25" spans="1:12" x14ac:dyDescent="0.2">
      <c r="A25" s="1" t="s">
        <v>177</v>
      </c>
      <c r="B25" s="1">
        <v>6</v>
      </c>
      <c r="C25" s="1" t="s">
        <v>1847</v>
      </c>
      <c r="D25" s="1" t="s">
        <v>1360</v>
      </c>
      <c r="E25" s="1" t="s">
        <v>2518</v>
      </c>
      <c r="F25" s="1" t="s">
        <v>2257</v>
      </c>
      <c r="G25" s="1" t="s">
        <v>2519</v>
      </c>
      <c r="H25" s="1" t="s">
        <v>2257</v>
      </c>
      <c r="I25" s="1" t="s">
        <v>88</v>
      </c>
      <c r="J25" s="1" t="s">
        <v>2519</v>
      </c>
      <c r="K25" s="1">
        <v>191</v>
      </c>
    </row>
    <row r="26" spans="1:12" x14ac:dyDescent="0.2">
      <c r="A26" s="1" t="s">
        <v>177</v>
      </c>
      <c r="B26" s="1">
        <v>6</v>
      </c>
      <c r="C26" s="1" t="s">
        <v>1830</v>
      </c>
      <c r="D26" s="1" t="s">
        <v>2520</v>
      </c>
      <c r="E26" s="1" t="s">
        <v>2521</v>
      </c>
      <c r="F26" s="1" t="s">
        <v>2522</v>
      </c>
      <c r="G26" s="1" t="s">
        <v>2523</v>
      </c>
      <c r="H26" s="1" t="s">
        <v>2522</v>
      </c>
      <c r="I26" s="1" t="s">
        <v>88</v>
      </c>
      <c r="J26" s="1" t="s">
        <v>2523</v>
      </c>
      <c r="K26" s="1">
        <v>163</v>
      </c>
    </row>
    <row r="27" spans="1:12" x14ac:dyDescent="0.2">
      <c r="A27" s="1" t="s">
        <v>177</v>
      </c>
      <c r="B27" s="1">
        <v>6</v>
      </c>
      <c r="C27" s="1" t="s">
        <v>202</v>
      </c>
      <c r="D27" s="1" t="s">
        <v>631</v>
      </c>
      <c r="E27" s="1" t="s">
        <v>2524</v>
      </c>
      <c r="F27" s="1" t="s">
        <v>2525</v>
      </c>
      <c r="G27" s="1" t="s">
        <v>2526</v>
      </c>
      <c r="H27" s="1" t="s">
        <v>2525</v>
      </c>
      <c r="I27" s="1" t="s">
        <v>94</v>
      </c>
      <c r="J27" s="1" t="s">
        <v>2526</v>
      </c>
      <c r="K27" s="1">
        <v>211</v>
      </c>
    </row>
    <row r="28" spans="1:12" ht="57" x14ac:dyDescent="0.2">
      <c r="A28" s="1" t="s">
        <v>177</v>
      </c>
      <c r="B28" s="1">
        <v>6</v>
      </c>
      <c r="C28" s="1" t="s">
        <v>232</v>
      </c>
      <c r="D28" s="1" t="s">
        <v>2527</v>
      </c>
      <c r="E28" s="1" t="s">
        <v>2528</v>
      </c>
      <c r="F28" s="1" t="s">
        <v>2529</v>
      </c>
      <c r="G28" s="1" t="s">
        <v>2530</v>
      </c>
      <c r="H28" s="1" t="s">
        <v>2527</v>
      </c>
      <c r="I28" s="1" t="s">
        <v>88</v>
      </c>
      <c r="J28" s="1" t="s">
        <v>2528</v>
      </c>
      <c r="K28" s="1">
        <v>146</v>
      </c>
    </row>
    <row r="29" spans="1:12" ht="28.5" x14ac:dyDescent="0.2">
      <c r="A29" s="1" t="s">
        <v>177</v>
      </c>
      <c r="B29" s="1">
        <v>7</v>
      </c>
      <c r="C29" s="1" t="s">
        <v>188</v>
      </c>
      <c r="D29" s="1" t="s">
        <v>2531</v>
      </c>
      <c r="E29" s="1" t="s">
        <v>2532</v>
      </c>
      <c r="F29" s="1" t="s">
        <v>1269</v>
      </c>
      <c r="G29" s="1" t="s">
        <v>2482</v>
      </c>
      <c r="H29" s="1" t="s">
        <v>2531</v>
      </c>
      <c r="I29" s="1" t="s">
        <v>94</v>
      </c>
      <c r="J29" s="1" t="s">
        <v>2532</v>
      </c>
      <c r="K29" s="1">
        <v>268</v>
      </c>
    </row>
    <row r="30" spans="1:12" x14ac:dyDescent="0.2">
      <c r="A30" s="1" t="s">
        <v>177</v>
      </c>
      <c r="B30" s="1">
        <v>7</v>
      </c>
      <c r="C30" s="1" t="s">
        <v>192</v>
      </c>
      <c r="D30" s="1" t="s">
        <v>1593</v>
      </c>
      <c r="E30" s="1" t="s">
        <v>2533</v>
      </c>
      <c r="F30" s="1" t="s">
        <v>2534</v>
      </c>
      <c r="G30" s="1" t="s">
        <v>2535</v>
      </c>
      <c r="H30" s="1" t="s">
        <v>2534</v>
      </c>
      <c r="I30" s="1" t="s">
        <v>88</v>
      </c>
      <c r="J30" s="1" t="s">
        <v>2535</v>
      </c>
      <c r="K30" s="1">
        <v>203</v>
      </c>
    </row>
    <row r="31" spans="1:12" x14ac:dyDescent="0.2">
      <c r="A31" s="1" t="s">
        <v>177</v>
      </c>
      <c r="B31" s="1">
        <v>7</v>
      </c>
      <c r="C31" s="1" t="s">
        <v>197</v>
      </c>
      <c r="D31" s="1" t="s">
        <v>1984</v>
      </c>
      <c r="E31" s="1" t="s">
        <v>2536</v>
      </c>
      <c r="F31" s="1" t="s">
        <v>2537</v>
      </c>
      <c r="G31" s="1" t="s">
        <v>2538</v>
      </c>
      <c r="H31" s="1" t="s">
        <v>1984</v>
      </c>
      <c r="I31" s="1" t="s">
        <v>88</v>
      </c>
      <c r="J31" s="1" t="s">
        <v>2536</v>
      </c>
      <c r="K31" s="1">
        <v>203</v>
      </c>
    </row>
    <row r="32" spans="1:12" ht="57" x14ac:dyDescent="0.2">
      <c r="A32" s="1" t="s">
        <v>177</v>
      </c>
      <c r="B32" s="1">
        <v>7</v>
      </c>
      <c r="C32" s="1" t="s">
        <v>220</v>
      </c>
      <c r="D32" s="1" t="s">
        <v>942</v>
      </c>
      <c r="E32" s="1" t="s">
        <v>3117</v>
      </c>
      <c r="F32" s="1" t="s">
        <v>3065</v>
      </c>
      <c r="G32" s="1" t="s">
        <v>3118</v>
      </c>
      <c r="H32" s="1" t="s">
        <v>942</v>
      </c>
      <c r="I32" s="1" t="s">
        <v>3050</v>
      </c>
      <c r="J32" s="1" t="s">
        <v>3117</v>
      </c>
      <c r="K32" s="1">
        <v>193</v>
      </c>
      <c r="L32" s="1">
        <v>1</v>
      </c>
    </row>
    <row r="33" spans="1:11" ht="28.5" x14ac:dyDescent="0.2">
      <c r="A33" s="1" t="s">
        <v>177</v>
      </c>
      <c r="B33" s="1">
        <v>8</v>
      </c>
      <c r="C33" s="1" t="s">
        <v>1121</v>
      </c>
      <c r="D33" s="1" t="s">
        <v>1736</v>
      </c>
      <c r="E33" s="1" t="s">
        <v>2539</v>
      </c>
      <c r="F33" s="1" t="s">
        <v>2540</v>
      </c>
      <c r="G33" s="1" t="s">
        <v>2541</v>
      </c>
      <c r="H33" s="1" t="s">
        <v>2540</v>
      </c>
      <c r="I33" s="1" t="s">
        <v>88</v>
      </c>
      <c r="J33" s="1" t="s">
        <v>2541</v>
      </c>
      <c r="K33" s="1">
        <v>258</v>
      </c>
    </row>
    <row r="34" spans="1:11" x14ac:dyDescent="0.2">
      <c r="A34" s="1" t="s">
        <v>177</v>
      </c>
      <c r="B34" s="1">
        <v>8</v>
      </c>
      <c r="C34" s="1" t="s">
        <v>214</v>
      </c>
      <c r="D34" s="1" t="s">
        <v>2542</v>
      </c>
      <c r="E34" s="1" t="s">
        <v>2543</v>
      </c>
      <c r="F34" s="1" t="s">
        <v>2544</v>
      </c>
      <c r="G34" s="1" t="s">
        <v>2545</v>
      </c>
      <c r="H34" s="1" t="s">
        <v>2544</v>
      </c>
      <c r="I34" s="1" t="s">
        <v>88</v>
      </c>
      <c r="J34" s="1" t="s">
        <v>2545</v>
      </c>
      <c r="K34" s="1">
        <v>190</v>
      </c>
    </row>
    <row r="35" spans="1:11" x14ac:dyDescent="0.2">
      <c r="A35" s="1" t="s">
        <v>177</v>
      </c>
      <c r="B35" s="1">
        <v>8</v>
      </c>
      <c r="C35" s="1" t="s">
        <v>1127</v>
      </c>
      <c r="D35" s="1" t="s">
        <v>461</v>
      </c>
      <c r="E35" s="1" t="s">
        <v>2546</v>
      </c>
      <c r="F35" s="1" t="s">
        <v>1992</v>
      </c>
      <c r="G35" s="1" t="s">
        <v>2547</v>
      </c>
      <c r="H35" s="1" t="s">
        <v>461</v>
      </c>
      <c r="I35" s="1" t="s">
        <v>94</v>
      </c>
      <c r="J35" s="1" t="s">
        <v>2548</v>
      </c>
      <c r="K35" s="1">
        <v>264</v>
      </c>
    </row>
    <row r="36" spans="1:11" x14ac:dyDescent="0.2">
      <c r="A36" s="1" t="s">
        <v>177</v>
      </c>
      <c r="B36" s="1">
        <v>8</v>
      </c>
      <c r="C36" s="1" t="s">
        <v>1132</v>
      </c>
      <c r="D36" s="1" t="s">
        <v>273</v>
      </c>
      <c r="E36" s="1" t="s">
        <v>2549</v>
      </c>
      <c r="F36" s="1" t="s">
        <v>2550</v>
      </c>
      <c r="G36" s="1" t="s">
        <v>2551</v>
      </c>
      <c r="H36" s="1" t="s">
        <v>1028</v>
      </c>
      <c r="I36" s="1" t="s">
        <v>94</v>
      </c>
      <c r="J36" s="1" t="s">
        <v>2552</v>
      </c>
      <c r="K36" s="1">
        <v>317</v>
      </c>
    </row>
    <row r="37" spans="1:11" ht="28.5" x14ac:dyDescent="0.2">
      <c r="A37" s="1" t="s">
        <v>177</v>
      </c>
      <c r="B37" s="1">
        <v>8</v>
      </c>
      <c r="C37" s="1" t="s">
        <v>207</v>
      </c>
      <c r="D37" s="1" t="s">
        <v>878</v>
      </c>
      <c r="E37" s="1" t="s">
        <v>2553</v>
      </c>
      <c r="F37" s="1" t="s">
        <v>1362</v>
      </c>
      <c r="G37" s="1" t="s">
        <v>2554</v>
      </c>
      <c r="H37" s="1" t="s">
        <v>1362</v>
      </c>
      <c r="I37" s="1" t="s">
        <v>88</v>
      </c>
      <c r="J37" s="1" t="s">
        <v>2554</v>
      </c>
      <c r="K37" s="1">
        <v>198</v>
      </c>
    </row>
    <row r="38" spans="1:11" x14ac:dyDescent="0.2">
      <c r="A38" s="1" t="s">
        <v>177</v>
      </c>
      <c r="B38" s="1">
        <v>8</v>
      </c>
      <c r="C38" s="1" t="s">
        <v>227</v>
      </c>
      <c r="D38" s="1" t="s">
        <v>1150</v>
      </c>
      <c r="E38" s="1" t="s">
        <v>2555</v>
      </c>
      <c r="F38" s="1" t="s">
        <v>1429</v>
      </c>
      <c r="G38" s="1" t="s">
        <v>2556</v>
      </c>
      <c r="H38" s="1" t="s">
        <v>1429</v>
      </c>
      <c r="I38" s="1" t="s">
        <v>88</v>
      </c>
      <c r="J38" s="1" t="s">
        <v>2556</v>
      </c>
      <c r="K38" s="1">
        <v>205</v>
      </c>
    </row>
    <row r="39" spans="1:11" ht="42.75" x14ac:dyDescent="0.2">
      <c r="A39" s="1" t="s">
        <v>177</v>
      </c>
      <c r="B39" s="1">
        <v>9</v>
      </c>
      <c r="C39" s="1" t="s">
        <v>277</v>
      </c>
      <c r="D39" s="1" t="s">
        <v>466</v>
      </c>
      <c r="E39" s="1" t="s">
        <v>2557</v>
      </c>
      <c r="F39" s="1" t="s">
        <v>1093</v>
      </c>
      <c r="G39" s="1" t="s">
        <v>2558</v>
      </c>
      <c r="H39" s="1" t="s">
        <v>1093</v>
      </c>
      <c r="I39" s="1" t="s">
        <v>94</v>
      </c>
      <c r="J39" s="1" t="s">
        <v>2558</v>
      </c>
      <c r="K39" s="1">
        <v>208</v>
      </c>
    </row>
    <row r="40" spans="1:11" ht="42.75" x14ac:dyDescent="0.2">
      <c r="A40" s="1" t="s">
        <v>177</v>
      </c>
      <c r="B40" s="1">
        <v>9</v>
      </c>
      <c r="C40" s="1" t="s">
        <v>255</v>
      </c>
      <c r="D40" s="1" t="s">
        <v>288</v>
      </c>
      <c r="E40" s="1" t="s">
        <v>2559</v>
      </c>
      <c r="F40" s="1" t="s">
        <v>1502</v>
      </c>
      <c r="G40" s="1" t="s">
        <v>2560</v>
      </c>
      <c r="H40" s="1" t="s">
        <v>1502</v>
      </c>
      <c r="I40" s="1" t="s">
        <v>88</v>
      </c>
      <c r="J40" s="1" t="s">
        <v>2560</v>
      </c>
      <c r="K40" s="1">
        <v>251</v>
      </c>
    </row>
    <row r="41" spans="1:11" ht="28.5" x14ac:dyDescent="0.2">
      <c r="A41" s="1" t="s">
        <v>177</v>
      </c>
      <c r="B41" s="1">
        <v>9</v>
      </c>
      <c r="C41" s="1" t="s">
        <v>1121</v>
      </c>
      <c r="D41" s="1" t="s">
        <v>1736</v>
      </c>
      <c r="E41" s="1" t="s">
        <v>2539</v>
      </c>
      <c r="F41" s="1" t="s">
        <v>2540</v>
      </c>
      <c r="G41" s="1" t="s">
        <v>2541</v>
      </c>
      <c r="H41" s="1" t="s">
        <v>2540</v>
      </c>
      <c r="I41" s="1" t="s">
        <v>88</v>
      </c>
      <c r="J41" s="1" t="s">
        <v>2541</v>
      </c>
      <c r="K41" s="1">
        <v>179</v>
      </c>
    </row>
    <row r="42" spans="1:11" x14ac:dyDescent="0.2">
      <c r="A42" s="1" t="s">
        <v>177</v>
      </c>
      <c r="B42" s="1">
        <v>9</v>
      </c>
      <c r="C42" s="1" t="s">
        <v>250</v>
      </c>
      <c r="D42" s="1" t="s">
        <v>1771</v>
      </c>
      <c r="E42" s="1" t="s">
        <v>2561</v>
      </c>
      <c r="F42" s="1" t="s">
        <v>1459</v>
      </c>
      <c r="G42" s="1" t="s">
        <v>2562</v>
      </c>
      <c r="H42" s="1" t="s">
        <v>1459</v>
      </c>
      <c r="I42" s="1" t="s">
        <v>94</v>
      </c>
      <c r="J42" s="1" t="s">
        <v>2562</v>
      </c>
      <c r="K42" s="1">
        <v>238</v>
      </c>
    </row>
    <row r="43" spans="1:11" ht="42.75" x14ac:dyDescent="0.2">
      <c r="A43" s="1" t="s">
        <v>177</v>
      </c>
      <c r="B43" s="1">
        <v>9</v>
      </c>
      <c r="C43" s="1" t="s">
        <v>261</v>
      </c>
      <c r="D43" s="1" t="s">
        <v>1419</v>
      </c>
      <c r="E43" s="1" t="s">
        <v>2563</v>
      </c>
      <c r="F43" s="1" t="s">
        <v>2436</v>
      </c>
      <c r="G43" s="1" t="s">
        <v>2564</v>
      </c>
      <c r="H43" s="1" t="s">
        <v>2436</v>
      </c>
      <c r="I43" s="1" t="s">
        <v>94</v>
      </c>
      <c r="J43" s="1" t="s">
        <v>2564</v>
      </c>
      <c r="K43" s="1">
        <v>232</v>
      </c>
    </row>
    <row r="44" spans="1:11" ht="57" x14ac:dyDescent="0.2">
      <c r="A44" s="1" t="s">
        <v>177</v>
      </c>
      <c r="B44" s="1">
        <v>9</v>
      </c>
      <c r="C44" s="1" t="s">
        <v>1154</v>
      </c>
      <c r="D44" s="1" t="s">
        <v>2565</v>
      </c>
      <c r="E44" s="1" t="s">
        <v>2566</v>
      </c>
      <c r="F44" s="1" t="s">
        <v>2257</v>
      </c>
      <c r="G44" s="1" t="s">
        <v>2567</v>
      </c>
      <c r="H44" s="1" t="s">
        <v>2257</v>
      </c>
      <c r="I44" s="1" t="s">
        <v>2568</v>
      </c>
      <c r="J44" s="1" t="s">
        <v>2567</v>
      </c>
      <c r="K44" s="1">
        <v>221</v>
      </c>
    </row>
    <row r="45" spans="1:11" x14ac:dyDescent="0.2">
      <c r="A45" s="1" t="s">
        <v>177</v>
      </c>
      <c r="B45" s="1">
        <v>10</v>
      </c>
      <c r="C45" s="1" t="s">
        <v>1159</v>
      </c>
      <c r="D45" s="1" t="s">
        <v>2569</v>
      </c>
      <c r="E45" s="1" t="s">
        <v>2570</v>
      </c>
      <c r="F45" s="1" t="s">
        <v>1662</v>
      </c>
      <c r="G45" s="1" t="s">
        <v>2571</v>
      </c>
      <c r="H45" s="1" t="s">
        <v>2569</v>
      </c>
      <c r="I45" s="1" t="s">
        <v>94</v>
      </c>
      <c r="J45" s="1" t="s">
        <v>2570</v>
      </c>
      <c r="K45" s="1">
        <v>413</v>
      </c>
    </row>
    <row r="46" spans="1:11" x14ac:dyDescent="0.2">
      <c r="A46" s="1" t="s">
        <v>177</v>
      </c>
      <c r="B46" s="1">
        <v>10</v>
      </c>
      <c r="C46" s="1" t="s">
        <v>282</v>
      </c>
      <c r="D46" s="1" t="s">
        <v>2572</v>
      </c>
      <c r="E46" s="1" t="s">
        <v>2573</v>
      </c>
      <c r="F46" s="1" t="s">
        <v>2352</v>
      </c>
      <c r="G46" s="1" t="s">
        <v>2574</v>
      </c>
      <c r="H46" s="1" t="s">
        <v>2352</v>
      </c>
      <c r="I46" s="1" t="s">
        <v>94</v>
      </c>
      <c r="J46" s="1" t="s">
        <v>2574</v>
      </c>
      <c r="K46" s="1">
        <v>392</v>
      </c>
    </row>
    <row r="47" spans="1:11" ht="28.5" x14ac:dyDescent="0.2">
      <c r="A47" s="1" t="s">
        <v>177</v>
      </c>
      <c r="B47" s="1">
        <v>10</v>
      </c>
      <c r="C47" s="1" t="s">
        <v>272</v>
      </c>
      <c r="D47" s="1" t="str">
        <f>VLOOKUP(C47,[1]泡!$C:$D,2,0)</f>
        <v>A241</v>
      </c>
      <c r="E47" s="1" t="str">
        <f>VLOOKUP(C47,[1]泡!$C:$E,3,0)</f>
        <v>A：右手绿条后左手9开始四连点（存）
E：16号单点</v>
      </c>
      <c r="F47" s="1" t="str">
        <f>VLOOKUP(C47,[1]泡!$C:$F,4,0)</f>
        <v>B338</v>
      </c>
      <c r="G47" s="1" t="str">
        <f>VLOOKUP(C47,[1]泡!$C:$G,5,0)</f>
        <v>B：左手14号蓝条
E：上方14单点</v>
      </c>
      <c r="H47" s="1" t="str">
        <f>VLOOKUP(C47,[1]泡!$C:$H,6,0)</f>
        <v>A230</v>
      </c>
      <c r="I47" s="1" t="str">
        <f>VLOOKUP(C47,[1]泡!$C:$I,7,0)</f>
        <v>极限</v>
      </c>
      <c r="J47" s="1" t="str">
        <f>VLOOKUP(C47,[1]泡!$C:$J,8,0)</f>
        <v>A：左手下方1开始五连点
E：16号单点</v>
      </c>
      <c r="K47" s="1">
        <f>VLOOKUP(C47,[1]泡!$C:$K,9,0)</f>
        <v>266</v>
      </c>
    </row>
    <row r="48" spans="1:11" x14ac:dyDescent="0.2">
      <c r="A48" s="1" t="s">
        <v>286</v>
      </c>
      <c r="B48" s="1">
        <v>6</v>
      </c>
      <c r="C48" s="1" t="s">
        <v>2575</v>
      </c>
      <c r="D48" s="1" t="s">
        <v>2576</v>
      </c>
      <c r="E48" s="1" t="s">
        <v>2577</v>
      </c>
      <c r="F48" s="1" t="s">
        <v>2578</v>
      </c>
      <c r="G48" s="1" t="s">
        <v>2579</v>
      </c>
      <c r="H48" s="1" t="s">
        <v>2578</v>
      </c>
      <c r="I48" s="1" t="s">
        <v>88</v>
      </c>
      <c r="J48" s="1" t="s">
        <v>2579</v>
      </c>
      <c r="K48" s="1">
        <v>137</v>
      </c>
    </row>
    <row r="49" spans="1:12" x14ac:dyDescent="0.2">
      <c r="A49" s="1" t="s">
        <v>286</v>
      </c>
      <c r="B49" s="1">
        <v>6</v>
      </c>
      <c r="C49" s="1" t="s">
        <v>2580</v>
      </c>
      <c r="D49" s="1" t="s">
        <v>2581</v>
      </c>
      <c r="E49" s="1" t="s">
        <v>2582</v>
      </c>
      <c r="F49" s="1" t="s">
        <v>2583</v>
      </c>
      <c r="G49" s="1" t="s">
        <v>2584</v>
      </c>
      <c r="H49" s="1" t="s">
        <v>2583</v>
      </c>
      <c r="I49" s="1" t="s">
        <v>88</v>
      </c>
      <c r="J49" s="1" t="s">
        <v>2584</v>
      </c>
      <c r="K49" s="1">
        <v>138</v>
      </c>
    </row>
    <row r="50" spans="1:12" ht="28.5" x14ac:dyDescent="0.2">
      <c r="A50" s="1" t="s">
        <v>286</v>
      </c>
      <c r="B50" s="1">
        <v>7</v>
      </c>
      <c r="C50" s="1" t="s">
        <v>287</v>
      </c>
      <c r="D50" s="1" t="str">
        <f>VLOOKUP(C50,[1]泡!$C:$D,2,0)</f>
        <v>A137</v>
      </c>
      <c r="E50" s="1" t="str">
        <f>VLOOKUP(C50,[1]泡!$C:$E,3,0)</f>
        <v>A：15绿条后爆右下1开始连点
E：右中4号单点</v>
      </c>
      <c r="F50" s="1" t="str">
        <f>VLOOKUP(C50,[1]泡!$C:$F,4,0)</f>
        <v>B322</v>
      </c>
      <c r="G50" s="1" t="str">
        <f>VLOOKUP(C50,[1]泡!$C:$G,5,0)</f>
        <v>B：15绿条后爆左上开始连点
E：左中4单点</v>
      </c>
      <c r="H50" s="1" t="str">
        <f>VLOOKUP(C50,[1]泡!$C:$H,6,0)</f>
        <v>A137</v>
      </c>
      <c r="I50" s="1" t="str">
        <f>VLOOKUP(C50,[1]泡!$C:$I,7,0)</f>
        <v>极限</v>
      </c>
      <c r="J50" s="1" t="str">
        <f>VLOOKUP(C50,[1]泡!$C:$J,8,0)</f>
        <v>A：15绿条后爆右下1开始连点
E：右中4号单点</v>
      </c>
      <c r="K50" s="1">
        <f>VLOOKUP(C50,[1]泡!$C:$K,9,0)</f>
        <v>179</v>
      </c>
    </row>
    <row r="51" spans="1:12" ht="42.75" x14ac:dyDescent="0.2">
      <c r="A51" s="1" t="s">
        <v>286</v>
      </c>
      <c r="B51" s="1">
        <v>9</v>
      </c>
      <c r="C51" s="1" t="s">
        <v>311</v>
      </c>
      <c r="D51" s="1" t="s">
        <v>2585</v>
      </c>
      <c r="E51" s="1" t="s">
        <v>2586</v>
      </c>
      <c r="F51" s="1" t="s">
        <v>573</v>
      </c>
      <c r="G51" s="1" t="s">
        <v>2587</v>
      </c>
      <c r="H51" s="1" t="s">
        <v>573</v>
      </c>
      <c r="I51" s="1" t="s">
        <v>94</v>
      </c>
      <c r="J51" s="1" t="s">
        <v>2587</v>
      </c>
      <c r="K51" s="1">
        <v>235</v>
      </c>
    </row>
    <row r="52" spans="1:12" x14ac:dyDescent="0.2">
      <c r="A52" s="1" t="s">
        <v>286</v>
      </c>
      <c r="B52" s="1">
        <v>10</v>
      </c>
      <c r="C52" s="1" t="s">
        <v>292</v>
      </c>
      <c r="D52" s="1" t="s">
        <v>2589</v>
      </c>
      <c r="E52" s="1" t="s">
        <v>2590</v>
      </c>
      <c r="F52" s="1" t="s">
        <v>2591</v>
      </c>
      <c r="G52" s="1" t="s">
        <v>2592</v>
      </c>
      <c r="H52" s="1" t="s">
        <v>2591</v>
      </c>
      <c r="I52" s="1" t="s">
        <v>94</v>
      </c>
      <c r="J52" s="1" t="s">
        <v>2592</v>
      </c>
      <c r="K52" s="1">
        <v>244</v>
      </c>
    </row>
    <row r="53" spans="1:12" x14ac:dyDescent="0.2">
      <c r="A53" s="1" t="s">
        <v>286</v>
      </c>
      <c r="B53" s="1">
        <v>10</v>
      </c>
      <c r="C53" s="1" t="s">
        <v>299</v>
      </c>
      <c r="D53" s="1" t="s">
        <v>317</v>
      </c>
      <c r="E53" s="1" t="s">
        <v>2593</v>
      </c>
      <c r="F53" s="1" t="s">
        <v>200</v>
      </c>
      <c r="G53" s="1" t="s">
        <v>2535</v>
      </c>
      <c r="H53" s="1" t="s">
        <v>200</v>
      </c>
      <c r="I53" s="1" t="s">
        <v>94</v>
      </c>
      <c r="J53" s="1" t="s">
        <v>2535</v>
      </c>
      <c r="K53" s="1">
        <v>440</v>
      </c>
    </row>
    <row r="54" spans="1:12" ht="28.5" x14ac:dyDescent="0.2">
      <c r="A54" s="1" t="s">
        <v>286</v>
      </c>
      <c r="B54" s="1">
        <v>10</v>
      </c>
      <c r="C54" s="1" t="s">
        <v>306</v>
      </c>
      <c r="D54" s="1" t="s">
        <v>2569</v>
      </c>
      <c r="E54" s="1" t="s">
        <v>2594</v>
      </c>
      <c r="F54" s="1" t="s">
        <v>2595</v>
      </c>
      <c r="G54" s="1" t="s">
        <v>2596</v>
      </c>
      <c r="H54" s="1" t="s">
        <v>2569</v>
      </c>
      <c r="I54" s="1" t="s">
        <v>94</v>
      </c>
      <c r="J54" s="1" t="s">
        <v>2594</v>
      </c>
      <c r="K54" s="1">
        <v>318</v>
      </c>
    </row>
    <row r="55" spans="1:12" ht="42.75" x14ac:dyDescent="0.2">
      <c r="A55" s="1" t="s">
        <v>286</v>
      </c>
      <c r="B55" s="1">
        <v>10</v>
      </c>
      <c r="C55" s="1" t="s">
        <v>1192</v>
      </c>
      <c r="D55" s="1" t="s">
        <v>592</v>
      </c>
      <c r="E55" s="1" t="s">
        <v>3134</v>
      </c>
      <c r="F55" s="1" t="s">
        <v>1026</v>
      </c>
      <c r="G55" s="1" t="s">
        <v>3135</v>
      </c>
      <c r="H55" s="1" t="s">
        <v>1026</v>
      </c>
      <c r="I55" s="1" t="s">
        <v>94</v>
      </c>
      <c r="J55" s="1" t="s">
        <v>3136</v>
      </c>
      <c r="K55" s="1">
        <v>332</v>
      </c>
      <c r="L55" s="1">
        <v>1</v>
      </c>
    </row>
    <row r="56" spans="1:12" ht="66" x14ac:dyDescent="0.2">
      <c r="A56" s="1" t="s">
        <v>286</v>
      </c>
      <c r="B56" s="1">
        <v>10</v>
      </c>
      <c r="C56" s="1" t="s">
        <v>316</v>
      </c>
      <c r="D56" s="1" t="s">
        <v>151</v>
      </c>
      <c r="E56" s="1" t="s">
        <v>3153</v>
      </c>
      <c r="F56" s="1" t="s">
        <v>2597</v>
      </c>
      <c r="G56" s="1" t="s">
        <v>3161</v>
      </c>
      <c r="H56" s="1" t="s">
        <v>151</v>
      </c>
      <c r="I56" s="1" t="s">
        <v>94</v>
      </c>
      <c r="J56" s="1" t="s">
        <v>3153</v>
      </c>
      <c r="K56" s="1">
        <v>352</v>
      </c>
    </row>
    <row r="57" spans="1:12" x14ac:dyDescent="0.2">
      <c r="A57" s="1" t="s">
        <v>321</v>
      </c>
      <c r="B57" s="1">
        <v>6</v>
      </c>
      <c r="C57" s="1" t="s">
        <v>2598</v>
      </c>
      <c r="D57" s="1" t="s">
        <v>1670</v>
      </c>
      <c r="E57" s="1" t="s">
        <v>2599</v>
      </c>
      <c r="F57" s="1" t="s">
        <v>2600</v>
      </c>
      <c r="G57" s="1" t="s">
        <v>2601</v>
      </c>
      <c r="H57" s="1" t="s">
        <v>2600</v>
      </c>
      <c r="I57" s="1" t="s">
        <v>88</v>
      </c>
      <c r="J57" s="1" t="s">
        <v>2601</v>
      </c>
      <c r="K57" s="1">
        <v>145</v>
      </c>
    </row>
    <row r="58" spans="1:12" ht="42.75" x14ac:dyDescent="0.2">
      <c r="A58" s="1" t="s">
        <v>321</v>
      </c>
      <c r="B58" s="1">
        <v>6</v>
      </c>
      <c r="C58" s="1" t="s">
        <v>1942</v>
      </c>
      <c r="D58" s="1" t="s">
        <v>760</v>
      </c>
      <c r="E58" s="1" t="s">
        <v>3079</v>
      </c>
      <c r="F58" s="1" t="s">
        <v>3066</v>
      </c>
      <c r="G58" s="1" t="s">
        <v>3087</v>
      </c>
      <c r="H58" s="1" t="s">
        <v>3066</v>
      </c>
      <c r="I58" s="1" t="s">
        <v>88</v>
      </c>
      <c r="J58" s="1" t="s">
        <v>3102</v>
      </c>
      <c r="K58" s="1">
        <v>222</v>
      </c>
      <c r="L58" s="1">
        <v>1</v>
      </c>
    </row>
    <row r="59" spans="1:12" x14ac:dyDescent="0.2">
      <c r="A59" s="1" t="s">
        <v>321</v>
      </c>
      <c r="B59" s="1">
        <v>6</v>
      </c>
      <c r="C59" s="1" t="s">
        <v>1211</v>
      </c>
      <c r="D59" s="1" t="s">
        <v>2507</v>
      </c>
      <c r="E59" s="1" t="s">
        <v>2602</v>
      </c>
      <c r="F59" s="1" t="s">
        <v>217</v>
      </c>
      <c r="G59" s="1" t="s">
        <v>2603</v>
      </c>
      <c r="H59" s="1" t="s">
        <v>2507</v>
      </c>
      <c r="I59" s="1" t="s">
        <v>88</v>
      </c>
      <c r="J59" s="1" t="s">
        <v>2602</v>
      </c>
      <c r="K59" s="1">
        <v>198</v>
      </c>
    </row>
    <row r="60" spans="1:12" x14ac:dyDescent="0.2">
      <c r="A60" s="1" t="s">
        <v>321</v>
      </c>
      <c r="B60" s="1">
        <v>7</v>
      </c>
      <c r="C60" s="1" t="s">
        <v>2604</v>
      </c>
      <c r="D60" s="1" t="s">
        <v>2605</v>
      </c>
      <c r="E60" s="1" t="s">
        <v>2606</v>
      </c>
      <c r="F60" s="1" t="s">
        <v>2607</v>
      </c>
      <c r="G60" s="1" t="s">
        <v>2608</v>
      </c>
      <c r="H60" s="1" t="s">
        <v>2605</v>
      </c>
      <c r="I60" s="1" t="s">
        <v>88</v>
      </c>
      <c r="J60" s="1" t="s">
        <v>2606</v>
      </c>
      <c r="K60" s="1">
        <v>178</v>
      </c>
    </row>
    <row r="61" spans="1:12" ht="42.75" x14ac:dyDescent="0.2">
      <c r="A61" s="1" t="s">
        <v>321</v>
      </c>
      <c r="B61" s="1">
        <v>7</v>
      </c>
      <c r="C61" s="1" t="s">
        <v>340</v>
      </c>
      <c r="D61" s="1" t="s">
        <v>2609</v>
      </c>
      <c r="E61" s="1" t="s">
        <v>2610</v>
      </c>
      <c r="F61" s="1" t="s">
        <v>1652</v>
      </c>
      <c r="G61" s="1" t="s">
        <v>3160</v>
      </c>
      <c r="H61" s="1" t="s">
        <v>2609</v>
      </c>
      <c r="I61" s="1" t="s">
        <v>94</v>
      </c>
      <c r="J61" s="1" t="s">
        <v>2610</v>
      </c>
      <c r="K61" s="1">
        <v>247</v>
      </c>
    </row>
    <row r="62" spans="1:12" ht="28.5" x14ac:dyDescent="0.2">
      <c r="A62" s="1" t="s">
        <v>321</v>
      </c>
      <c r="B62" s="1">
        <v>7</v>
      </c>
      <c r="C62" s="1" t="s">
        <v>322</v>
      </c>
      <c r="D62" s="1" t="str">
        <f>VLOOKUP(C62,[1]泡!$C:$D,2,0)</f>
        <v>A116</v>
      </c>
      <c r="E62" s="1" t="str">
        <f>VLOOKUP(C62,[1]泡!$C:$E,3,0)</f>
        <v>A：左下15绿条按住1cb（存）
E：18号右中单点，中场</v>
      </c>
      <c r="F62" s="1" t="str">
        <f>VLOOKUP(C62,[1]泡!$C:$F,4,0)</f>
        <v>B217</v>
      </c>
      <c r="G62" s="1" t="str">
        <f>VLOOKUP(C62,[1]泡!$C:$G,5,0)</f>
        <v>B：右6蓝条
E：左12单点</v>
      </c>
      <c r="H62" s="1" t="str">
        <f>VLOOKUP(C62,[1]泡!$C:$H,6,0)</f>
        <v>B217</v>
      </c>
      <c r="I62" s="1" t="str">
        <f>VLOOKUP(C62,[1]泡!$C:$I,7,0)</f>
        <v>爆气</v>
      </c>
      <c r="J62" s="1" t="str">
        <f>VLOOKUP(C62,[1]泡!$C:$J,8,0)</f>
        <v>B：右6号蓝条
E：右10号蓝条中间</v>
      </c>
      <c r="K62" s="1">
        <f>VLOOKUP(C62,[1]泡!$C:$K,9,0)</f>
        <v>144</v>
      </c>
    </row>
    <row r="63" spans="1:12" ht="28.5" x14ac:dyDescent="0.2">
      <c r="A63" s="1" t="s">
        <v>321</v>
      </c>
      <c r="B63" s="1">
        <v>7</v>
      </c>
      <c r="C63" s="1" t="s">
        <v>329</v>
      </c>
      <c r="D63" s="1" t="str">
        <f>VLOOKUP(C63,[1]泡!$C:$D,2,0)</f>
        <v>A145</v>
      </c>
      <c r="E63" s="1" t="str">
        <f>VLOOKUP(C63,[1]泡!$C:$E,3,0)</f>
        <v>A：右手5单点
E：左8单点</v>
      </c>
      <c r="F63" s="1" t="str">
        <f>VLOOKUP(C63,[1]泡!$C:$F,4,0)</f>
        <v>B281</v>
      </c>
      <c r="G63" s="1" t="str">
        <f>VLOOKUP(C63,[1]泡!$C:$G,5,0)</f>
        <v>B：右上5单点
E：右13单点</v>
      </c>
      <c r="H63" s="1" t="str">
        <f>VLOOKUP(C63,[1]泡!$C:$H,6,0)</f>
        <v>A145</v>
      </c>
      <c r="I63" s="1" t="str">
        <f>VLOOKUP(C63,[1]泡!$C:$I,7,0)</f>
        <v>极限</v>
      </c>
      <c r="J63" s="1" t="str">
        <f>VLOOKUP(C63,[1]泡!$C:$J,8,0)</f>
        <v>A：右手5单点
E：左8单点</v>
      </c>
      <c r="K63" s="1">
        <f>VLOOKUP(C63,[1]泡!$C:$K,9,0)</f>
        <v>191</v>
      </c>
    </row>
    <row r="64" spans="1:12" x14ac:dyDescent="0.2">
      <c r="A64" s="1" t="s">
        <v>321</v>
      </c>
      <c r="B64" s="1">
        <v>8</v>
      </c>
      <c r="C64" s="1" t="s">
        <v>1932</v>
      </c>
      <c r="D64" s="1" t="s">
        <v>2611</v>
      </c>
      <c r="E64" s="1" t="s">
        <v>2612</v>
      </c>
      <c r="F64" s="1" t="s">
        <v>2613</v>
      </c>
      <c r="G64" s="1" t="s">
        <v>2614</v>
      </c>
      <c r="H64" s="1" t="s">
        <v>2611</v>
      </c>
      <c r="I64" s="1" t="s">
        <v>94</v>
      </c>
      <c r="J64" s="1" t="s">
        <v>2612</v>
      </c>
      <c r="K64" s="1">
        <v>184</v>
      </c>
    </row>
    <row r="65" spans="1:12" ht="42.75" x14ac:dyDescent="0.2">
      <c r="A65" s="1" t="s">
        <v>321</v>
      </c>
      <c r="B65" s="1">
        <v>8</v>
      </c>
      <c r="C65" s="1" t="s">
        <v>335</v>
      </c>
      <c r="D65" s="1" t="s">
        <v>2615</v>
      </c>
      <c r="E65" s="1" t="s">
        <v>2616</v>
      </c>
      <c r="F65" s="1" t="s">
        <v>2257</v>
      </c>
      <c r="G65" s="1" t="s">
        <v>2617</v>
      </c>
      <c r="H65" s="1" t="s">
        <v>2615</v>
      </c>
      <c r="I65" s="1" t="s">
        <v>94</v>
      </c>
      <c r="J65" s="1" t="s">
        <v>2616</v>
      </c>
      <c r="K65" s="1">
        <v>163</v>
      </c>
    </row>
    <row r="66" spans="1:12" ht="28.5" x14ac:dyDescent="0.2">
      <c r="A66" s="1" t="s">
        <v>321</v>
      </c>
      <c r="B66" s="1">
        <v>9</v>
      </c>
      <c r="C66" s="1" t="s">
        <v>345</v>
      </c>
      <c r="D66" s="1" t="s">
        <v>2618</v>
      </c>
      <c r="E66" s="1" t="s">
        <v>2619</v>
      </c>
      <c r="F66" s="1" t="s">
        <v>585</v>
      </c>
      <c r="G66" s="1" t="s">
        <v>2620</v>
      </c>
      <c r="H66" s="1" t="s">
        <v>2618</v>
      </c>
      <c r="I66" s="1" t="s">
        <v>94</v>
      </c>
      <c r="J66" s="1" t="s">
        <v>2619</v>
      </c>
      <c r="K66" s="1">
        <v>225</v>
      </c>
    </row>
    <row r="67" spans="1:12" x14ac:dyDescent="0.2">
      <c r="A67" s="1" t="s">
        <v>321</v>
      </c>
      <c r="B67" s="1">
        <v>10</v>
      </c>
      <c r="C67" s="1" t="s">
        <v>349</v>
      </c>
      <c r="D67" s="1" t="s">
        <v>1365</v>
      </c>
      <c r="E67" s="1" t="s">
        <v>2621</v>
      </c>
      <c r="F67" s="1" t="s">
        <v>1754</v>
      </c>
      <c r="G67" s="1" t="s">
        <v>2622</v>
      </c>
      <c r="H67" s="1" t="s">
        <v>1365</v>
      </c>
      <c r="I67" s="1" t="s">
        <v>94</v>
      </c>
      <c r="J67" s="1" t="s">
        <v>2621</v>
      </c>
      <c r="K67" s="1">
        <v>309</v>
      </c>
    </row>
    <row r="68" spans="1:12" ht="57" x14ac:dyDescent="0.2">
      <c r="A68" s="1" t="s">
        <v>321</v>
      </c>
      <c r="B68" s="1">
        <v>10</v>
      </c>
      <c r="C68" s="1" t="s">
        <v>356</v>
      </c>
      <c r="D68" s="1" t="s">
        <v>1174</v>
      </c>
      <c r="E68" s="1" t="s">
        <v>2623</v>
      </c>
      <c r="F68" s="1" t="s">
        <v>674</v>
      </c>
      <c r="G68" s="1" t="s">
        <v>2624</v>
      </c>
      <c r="H68" s="1" t="s">
        <v>1174</v>
      </c>
      <c r="I68" s="1" t="s">
        <v>94</v>
      </c>
      <c r="J68" s="1" t="s">
        <v>2625</v>
      </c>
      <c r="K68" s="1">
        <v>527</v>
      </c>
    </row>
    <row r="69" spans="1:12" ht="42.75" x14ac:dyDescent="0.2">
      <c r="A69" s="1" t="s">
        <v>362</v>
      </c>
      <c r="B69" s="1">
        <v>6</v>
      </c>
      <c r="C69" s="1" t="s">
        <v>2626</v>
      </c>
      <c r="D69" s="1" t="s">
        <v>2109</v>
      </c>
      <c r="E69" s="1" t="s">
        <v>3080</v>
      </c>
      <c r="F69" s="1" t="s">
        <v>3067</v>
      </c>
      <c r="G69" s="1" t="s">
        <v>3088</v>
      </c>
      <c r="H69" s="1" t="s">
        <v>2109</v>
      </c>
      <c r="I69" s="1" t="s">
        <v>3068</v>
      </c>
      <c r="J69" s="1" t="s">
        <v>3080</v>
      </c>
      <c r="K69" s="1">
        <v>124</v>
      </c>
      <c r="L69" s="1">
        <v>1</v>
      </c>
    </row>
    <row r="70" spans="1:12" ht="42.75" x14ac:dyDescent="0.2">
      <c r="A70" s="1" t="s">
        <v>362</v>
      </c>
      <c r="B70" s="1">
        <v>7</v>
      </c>
      <c r="C70" s="1" t="s">
        <v>367</v>
      </c>
      <c r="D70" s="1" t="s">
        <v>2627</v>
      </c>
      <c r="E70" s="1" t="s">
        <v>2628</v>
      </c>
      <c r="F70" s="1" t="s">
        <v>1066</v>
      </c>
      <c r="G70" s="1" t="s">
        <v>2629</v>
      </c>
      <c r="H70" s="1" t="s">
        <v>1066</v>
      </c>
      <c r="I70" s="1" t="s">
        <v>88</v>
      </c>
      <c r="J70" s="1" t="s">
        <v>2629</v>
      </c>
      <c r="K70" s="1">
        <v>188</v>
      </c>
    </row>
    <row r="71" spans="1:12" ht="42.75" x14ac:dyDescent="0.2">
      <c r="A71" s="1" t="s">
        <v>362</v>
      </c>
      <c r="B71" s="1">
        <v>8</v>
      </c>
      <c r="C71" s="1" t="s">
        <v>374</v>
      </c>
      <c r="D71" s="1" t="s">
        <v>1128</v>
      </c>
      <c r="E71" s="1" t="s">
        <v>2630</v>
      </c>
      <c r="F71" s="1" t="s">
        <v>2631</v>
      </c>
      <c r="G71" s="1" t="s">
        <v>2632</v>
      </c>
      <c r="H71" s="1" t="s">
        <v>2631</v>
      </c>
      <c r="I71" s="1" t="s">
        <v>94</v>
      </c>
      <c r="J71" s="1" t="s">
        <v>2632</v>
      </c>
      <c r="K71" s="1">
        <v>227</v>
      </c>
    </row>
    <row r="72" spans="1:12" ht="57" x14ac:dyDescent="0.2">
      <c r="A72" s="1" t="s">
        <v>362</v>
      </c>
      <c r="B72" s="1">
        <v>9</v>
      </c>
      <c r="C72" s="1" t="s">
        <v>379</v>
      </c>
      <c r="D72" s="1" t="s">
        <v>2847</v>
      </c>
      <c r="E72" s="1" t="s">
        <v>3147</v>
      </c>
      <c r="F72" s="1" t="s">
        <v>1459</v>
      </c>
      <c r="G72" s="1" t="s">
        <v>3148</v>
      </c>
      <c r="H72" s="1" t="s">
        <v>880</v>
      </c>
      <c r="I72" s="1" t="s">
        <v>3069</v>
      </c>
      <c r="J72" s="1" t="s">
        <v>3119</v>
      </c>
      <c r="K72" s="1">
        <v>238</v>
      </c>
      <c r="L72" s="1">
        <v>1</v>
      </c>
    </row>
    <row r="73" spans="1:12" ht="42.75" x14ac:dyDescent="0.2">
      <c r="A73" s="1" t="s">
        <v>384</v>
      </c>
      <c r="B73" s="1">
        <v>6</v>
      </c>
      <c r="C73" s="1" t="s">
        <v>390</v>
      </c>
      <c r="D73" s="1" t="s">
        <v>1184</v>
      </c>
      <c r="E73" s="1" t="s">
        <v>2633</v>
      </c>
      <c r="F73" s="1" t="s">
        <v>2527</v>
      </c>
      <c r="G73" s="1" t="s">
        <v>2634</v>
      </c>
      <c r="H73" s="1" t="s">
        <v>2527</v>
      </c>
      <c r="I73" s="1" t="s">
        <v>94</v>
      </c>
      <c r="J73" s="1" t="s">
        <v>2634</v>
      </c>
      <c r="K73" s="1">
        <v>161</v>
      </c>
    </row>
    <row r="74" spans="1:12" ht="42.75" x14ac:dyDescent="0.2">
      <c r="A74" s="1" t="s">
        <v>384</v>
      </c>
      <c r="B74" s="1">
        <v>7</v>
      </c>
      <c r="C74" s="1" t="s">
        <v>2635</v>
      </c>
      <c r="D74" s="1" t="s">
        <v>565</v>
      </c>
      <c r="E74" s="1" t="s">
        <v>3120</v>
      </c>
      <c r="F74" s="1" t="s">
        <v>2529</v>
      </c>
      <c r="G74" s="1" t="s">
        <v>3089</v>
      </c>
      <c r="H74" s="1" t="s">
        <v>2615</v>
      </c>
      <c r="I74" s="1" t="s">
        <v>88</v>
      </c>
      <c r="J74" s="1" t="s">
        <v>3121</v>
      </c>
      <c r="K74" s="1">
        <v>179</v>
      </c>
      <c r="L74" s="1">
        <v>1</v>
      </c>
    </row>
    <row r="75" spans="1:12" ht="42.75" x14ac:dyDescent="0.2">
      <c r="A75" s="1" t="s">
        <v>384</v>
      </c>
      <c r="B75" s="1">
        <v>7</v>
      </c>
      <c r="C75" s="1" t="s">
        <v>395</v>
      </c>
      <c r="D75" s="1" t="s">
        <v>2636</v>
      </c>
      <c r="E75" s="1" t="s">
        <v>2637</v>
      </c>
      <c r="F75" s="1" t="s">
        <v>1459</v>
      </c>
      <c r="G75" s="1" t="s">
        <v>2638</v>
      </c>
      <c r="H75" s="1" t="s">
        <v>2636</v>
      </c>
      <c r="I75" s="1" t="s">
        <v>94</v>
      </c>
      <c r="J75" s="1" t="s">
        <v>2637</v>
      </c>
      <c r="K75" s="1">
        <v>224</v>
      </c>
    </row>
    <row r="76" spans="1:12" ht="28.5" x14ac:dyDescent="0.2">
      <c r="A76" s="1" t="s">
        <v>384</v>
      </c>
      <c r="B76" s="1">
        <v>7</v>
      </c>
      <c r="C76" s="1" t="s">
        <v>385</v>
      </c>
      <c r="D76" s="1" t="str">
        <f>VLOOKUP(C76,[1]泡!$C:$D,2,0)</f>
        <v>A66</v>
      </c>
      <c r="E76" s="1" t="str">
        <f>VLOOKUP(C76,[1]泡!$C:$E,3,0)</f>
        <v>A：右上6单点
E：左下9单点</v>
      </c>
      <c r="F76" s="1" t="str">
        <f>VLOOKUP(C76,[1]泡!$C:$F,4,0)</f>
        <v>B265</v>
      </c>
      <c r="G76" s="1" t="str">
        <f>VLOOKUP(C76,[1]泡!$C:$G,5,0)</f>
        <v>B：下方往上8号二连点接绿条
E：左蓝条结束</v>
      </c>
      <c r="H76" s="1" t="str">
        <f>VLOOKUP(C76,[1]泡!$C:$H,6,0)</f>
        <v>B265</v>
      </c>
      <c r="I76" s="1" t="str">
        <f>VLOOKUP(C76,[1]泡!$C:$I,7,0)</f>
        <v>极限</v>
      </c>
      <c r="J76" s="1" t="str">
        <f>VLOOKUP(C76,[1]泡!$C:$J,8,0)</f>
        <v>B：下方往上8号二连点接绿条
E：左蓝条结束</v>
      </c>
      <c r="K76" s="1">
        <f>VLOOKUP(C76,[1]泡!$C:$K,9,0)</f>
        <v>223</v>
      </c>
    </row>
    <row r="77" spans="1:12" ht="42.75" x14ac:dyDescent="0.2">
      <c r="A77" s="1" t="s">
        <v>384</v>
      </c>
      <c r="B77" s="1">
        <v>9</v>
      </c>
      <c r="C77" s="1" t="s">
        <v>405</v>
      </c>
      <c r="D77" s="1" t="s">
        <v>2639</v>
      </c>
      <c r="E77" s="1" t="s">
        <v>2640</v>
      </c>
      <c r="F77" s="1" t="s">
        <v>842</v>
      </c>
      <c r="G77" s="1" t="s">
        <v>2641</v>
      </c>
      <c r="H77" s="1" t="s">
        <v>1693</v>
      </c>
      <c r="I77" s="1" t="s">
        <v>94</v>
      </c>
      <c r="J77" s="1" t="s">
        <v>2642</v>
      </c>
      <c r="K77" s="1">
        <v>287</v>
      </c>
    </row>
    <row r="78" spans="1:12" ht="28.5" x14ac:dyDescent="0.2">
      <c r="A78" s="1" t="s">
        <v>384</v>
      </c>
      <c r="B78" s="1">
        <v>10</v>
      </c>
      <c r="C78" s="1" t="s">
        <v>400</v>
      </c>
      <c r="D78" s="1" t="s">
        <v>2643</v>
      </c>
      <c r="E78" s="1" t="s">
        <v>2644</v>
      </c>
      <c r="F78" s="1" t="s">
        <v>2279</v>
      </c>
      <c r="G78" s="1" t="s">
        <v>2645</v>
      </c>
      <c r="H78" s="1" t="s">
        <v>2279</v>
      </c>
      <c r="I78" s="1" t="s">
        <v>94</v>
      </c>
      <c r="J78" s="1" t="s">
        <v>2645</v>
      </c>
      <c r="K78" s="1">
        <v>371</v>
      </c>
    </row>
    <row r="79" spans="1:12" x14ac:dyDescent="0.2">
      <c r="A79" s="1" t="s">
        <v>384</v>
      </c>
      <c r="B79" s="1">
        <v>10</v>
      </c>
      <c r="C79" s="1" t="s">
        <v>1263</v>
      </c>
      <c r="D79" s="1" t="s">
        <v>865</v>
      </c>
      <c r="E79" s="1" t="s">
        <v>2646</v>
      </c>
      <c r="F79" s="1" t="s">
        <v>2647</v>
      </c>
      <c r="G79" s="1" t="s">
        <v>2648</v>
      </c>
      <c r="H79" s="1" t="s">
        <v>2647</v>
      </c>
      <c r="I79" s="1" t="s">
        <v>88</v>
      </c>
      <c r="J79" s="1" t="s">
        <v>2648</v>
      </c>
      <c r="K79" s="1">
        <v>269</v>
      </c>
    </row>
    <row r="80" spans="1:12" ht="57" x14ac:dyDescent="0.2">
      <c r="A80" s="1" t="s">
        <v>384</v>
      </c>
      <c r="B80" s="1">
        <v>10</v>
      </c>
      <c r="C80" s="1" t="s">
        <v>410</v>
      </c>
      <c r="D80" s="1" t="s">
        <v>859</v>
      </c>
      <c r="E80" s="1" t="s">
        <v>2649</v>
      </c>
      <c r="F80" s="1" t="s">
        <v>1654</v>
      </c>
      <c r="G80" s="1" t="s">
        <v>2650</v>
      </c>
      <c r="H80" s="1" t="s">
        <v>2651</v>
      </c>
      <c r="I80" s="1" t="s">
        <v>94</v>
      </c>
      <c r="J80" s="1" t="s">
        <v>2652</v>
      </c>
      <c r="K80" s="1">
        <v>228</v>
      </c>
    </row>
    <row r="81" spans="1:12" x14ac:dyDescent="0.2">
      <c r="A81" s="1" t="s">
        <v>384</v>
      </c>
      <c r="B81" s="1">
        <v>10</v>
      </c>
      <c r="C81" s="1" t="s">
        <v>415</v>
      </c>
      <c r="D81" s="1" t="s">
        <v>1045</v>
      </c>
      <c r="E81" s="1" t="s">
        <v>2653</v>
      </c>
      <c r="F81" s="1" t="s">
        <v>2654</v>
      </c>
      <c r="G81" s="1" t="s">
        <v>2655</v>
      </c>
      <c r="H81" s="1" t="s">
        <v>1045</v>
      </c>
      <c r="I81" s="1" t="s">
        <v>94</v>
      </c>
      <c r="J81" s="1" t="s">
        <v>2653</v>
      </c>
      <c r="K81" s="1">
        <v>286</v>
      </c>
    </row>
    <row r="82" spans="1:12" x14ac:dyDescent="0.2">
      <c r="A82" s="1" t="s">
        <v>384</v>
      </c>
      <c r="B82" s="1">
        <v>10</v>
      </c>
      <c r="C82" s="1" t="s">
        <v>420</v>
      </c>
      <c r="D82" s="1" t="s">
        <v>327</v>
      </c>
      <c r="E82" s="1" t="s">
        <v>2656</v>
      </c>
      <c r="F82" s="1" t="s">
        <v>2657</v>
      </c>
      <c r="G82" s="1" t="s">
        <v>2658</v>
      </c>
      <c r="H82" s="1" t="s">
        <v>2657</v>
      </c>
      <c r="I82" s="1" t="s">
        <v>88</v>
      </c>
      <c r="J82" s="1" t="s">
        <v>2658</v>
      </c>
      <c r="K82" s="1">
        <v>373</v>
      </c>
    </row>
    <row r="83" spans="1:12" ht="57" x14ac:dyDescent="0.2">
      <c r="A83" s="1" t="s">
        <v>425</v>
      </c>
      <c r="B83" s="1">
        <v>6</v>
      </c>
      <c r="C83" s="1" t="s">
        <v>1290</v>
      </c>
      <c r="D83" s="1" t="s">
        <v>233</v>
      </c>
      <c r="E83" s="1" t="s">
        <v>3081</v>
      </c>
      <c r="F83" s="1" t="s">
        <v>2659</v>
      </c>
      <c r="G83" s="1" t="s">
        <v>3090</v>
      </c>
      <c r="H83" s="1" t="s">
        <v>1287</v>
      </c>
      <c r="I83" s="1" t="s">
        <v>88</v>
      </c>
      <c r="J83" s="1" t="s">
        <v>3149</v>
      </c>
      <c r="K83" s="1">
        <v>173</v>
      </c>
      <c r="L83" s="1">
        <v>1</v>
      </c>
    </row>
    <row r="84" spans="1:12" x14ac:dyDescent="0.2">
      <c r="A84" s="1" t="s">
        <v>425</v>
      </c>
      <c r="B84" s="1">
        <v>7</v>
      </c>
      <c r="C84" s="1" t="s">
        <v>1284</v>
      </c>
      <c r="D84" s="1" t="s">
        <v>2660</v>
      </c>
      <c r="E84" s="1" t="s">
        <v>2661</v>
      </c>
      <c r="F84" s="1" t="s">
        <v>223</v>
      </c>
      <c r="G84" s="1" t="s">
        <v>2662</v>
      </c>
      <c r="H84" s="1" t="s">
        <v>223</v>
      </c>
      <c r="I84" s="1" t="s">
        <v>94</v>
      </c>
      <c r="J84" s="1" t="s">
        <v>2662</v>
      </c>
      <c r="K84" s="1">
        <v>184</v>
      </c>
    </row>
    <row r="85" spans="1:12" x14ac:dyDescent="0.2">
      <c r="A85" s="1" t="s">
        <v>425</v>
      </c>
      <c r="B85" s="1">
        <v>7</v>
      </c>
      <c r="C85" s="1" t="s">
        <v>426</v>
      </c>
      <c r="D85" s="1" t="s">
        <v>364</v>
      </c>
      <c r="E85" s="1" t="s">
        <v>2663</v>
      </c>
      <c r="F85" s="1" t="s">
        <v>1492</v>
      </c>
      <c r="G85" s="1" t="s">
        <v>2664</v>
      </c>
      <c r="H85" s="1" t="s">
        <v>364</v>
      </c>
      <c r="I85" s="1" t="s">
        <v>88</v>
      </c>
      <c r="J85" s="1" t="s">
        <v>2663</v>
      </c>
      <c r="K85" s="1">
        <v>190</v>
      </c>
    </row>
    <row r="86" spans="1:12" ht="42.75" x14ac:dyDescent="0.2">
      <c r="A86" s="1" t="s">
        <v>425</v>
      </c>
      <c r="B86" s="1">
        <v>7</v>
      </c>
      <c r="C86" s="1" t="s">
        <v>441</v>
      </c>
      <c r="D86" s="1" t="s">
        <v>553</v>
      </c>
      <c r="E86" s="1" t="s">
        <v>2665</v>
      </c>
      <c r="F86" s="1" t="s">
        <v>195</v>
      </c>
      <c r="G86" s="1" t="s">
        <v>2666</v>
      </c>
      <c r="H86" s="1" t="s">
        <v>553</v>
      </c>
      <c r="I86" s="1" t="s">
        <v>94</v>
      </c>
      <c r="J86" s="1" t="s">
        <v>2665</v>
      </c>
      <c r="K86" s="1">
        <v>230</v>
      </c>
    </row>
    <row r="87" spans="1:12" ht="28.5" x14ac:dyDescent="0.2">
      <c r="A87" s="1" t="s">
        <v>425</v>
      </c>
      <c r="B87" s="1">
        <v>8</v>
      </c>
      <c r="C87" s="1" t="s">
        <v>436</v>
      </c>
      <c r="D87" s="1" t="str">
        <f>VLOOKUP(C87,[1]泡!$C:$D,2,0)</f>
        <v>B235</v>
      </c>
      <c r="E87" s="1" t="str">
        <f>VLOOKUP(C87,[1]泡!$C:$E,3,0)</f>
        <v>B：右边1开始五连点
E：蓝条结束</v>
      </c>
      <c r="F87" s="1" t="str">
        <f>VLOOKUP(C87,[1]泡!$C:$F,4,0)</f>
        <v>B328</v>
      </c>
      <c r="G87" s="1" t="str">
        <f>VLOOKUP(C87,[1]泡!$C:$G,5,0)</f>
        <v>B：左手1开始三连点第三个
E：蓝条结束</v>
      </c>
      <c r="H87" s="1" t="str">
        <f>VLOOKUP(C87,[1]泡!$C:$H,6,0)</f>
        <v>B328</v>
      </c>
      <c r="I87" s="1" t="str">
        <f>VLOOKUP(C87,[1]泡!$C:$I,7,0)</f>
        <v>极限</v>
      </c>
      <c r="J87" s="1" t="str">
        <f>VLOOKUP(C87,[1]泡!$C:$J,8,0)</f>
        <v>B：左手1开始三连点第三个
E：蓝条结束</v>
      </c>
      <c r="K87" s="1">
        <f>VLOOKUP(C87,[1]泡!$C:$K,9,0)</f>
        <v>197</v>
      </c>
    </row>
    <row r="88" spans="1:12" ht="28.5" x14ac:dyDescent="0.2">
      <c r="A88" s="1" t="s">
        <v>425</v>
      </c>
      <c r="B88" s="1">
        <v>8</v>
      </c>
      <c r="C88" s="1" t="s">
        <v>431</v>
      </c>
      <c r="D88" s="1" t="str">
        <f>VLOOKUP(C88,[1]泡!$C:$D,2,0)</f>
        <v>A121</v>
      </c>
      <c r="E88" s="1" t="str">
        <f>VLOOKUP(C88,[1]泡!$C:$E,3,0)</f>
        <v>A：右手1开始四连点
E：右手9单点</v>
      </c>
      <c r="F88" s="1" t="str">
        <f>VLOOKUP(C88,[1]泡!$C:$F,4,0)</f>
        <v>同左</v>
      </c>
      <c r="G88" s="1" t="str">
        <f>VLOOKUP(C88,[1]泡!$C:$G,5,0)</f>
        <v>同左</v>
      </c>
      <c r="H88" s="1" t="str">
        <f>VLOOKUP(C88,[1]泡!$C:$H,6,0)</f>
        <v>A128</v>
      </c>
      <c r="I88" s="1" t="str">
        <f>VLOOKUP(C88,[1]泡!$C:$I,7,0)</f>
        <v>爆气</v>
      </c>
      <c r="J88" s="1" t="str">
        <f>VLOOKUP(C88,[1]泡!$C:$J,8,0)</f>
        <v>A：左上8单点
E：左上二连点</v>
      </c>
      <c r="K88" s="1">
        <f>VLOOKUP(C88,[1]泡!$C:$K,9,0)</f>
        <v>188</v>
      </c>
    </row>
    <row r="89" spans="1:12" ht="42.75" x14ac:dyDescent="0.2">
      <c r="A89" s="1" t="s">
        <v>425</v>
      </c>
      <c r="B89" s="1">
        <v>10</v>
      </c>
      <c r="C89" s="1" t="s">
        <v>446</v>
      </c>
      <c r="D89" s="1" t="s">
        <v>1834</v>
      </c>
      <c r="E89" s="1" t="s">
        <v>2667</v>
      </c>
      <c r="F89" s="1" t="s">
        <v>1255</v>
      </c>
      <c r="G89" s="1" t="s">
        <v>2668</v>
      </c>
      <c r="H89" s="1" t="s">
        <v>1255</v>
      </c>
      <c r="I89" s="1" t="s">
        <v>94</v>
      </c>
      <c r="J89" s="1" t="s">
        <v>2668</v>
      </c>
      <c r="K89" s="1">
        <v>414</v>
      </c>
    </row>
    <row r="90" spans="1:12" ht="28.5" x14ac:dyDescent="0.2">
      <c r="A90" s="1" t="s">
        <v>425</v>
      </c>
      <c r="B90" s="1">
        <v>10</v>
      </c>
      <c r="C90" s="1" t="s">
        <v>450</v>
      </c>
      <c r="D90" s="1" t="s">
        <v>2595</v>
      </c>
      <c r="E90" s="1" t="s">
        <v>2669</v>
      </c>
      <c r="F90" s="1" t="s">
        <v>86</v>
      </c>
      <c r="G90" s="1" t="s">
        <v>2670</v>
      </c>
      <c r="H90" s="1" t="s">
        <v>2595</v>
      </c>
      <c r="I90" s="1" t="s">
        <v>94</v>
      </c>
      <c r="J90" s="1" t="s">
        <v>2669</v>
      </c>
      <c r="K90" s="1">
        <v>309</v>
      </c>
    </row>
    <row r="91" spans="1:12" ht="42.75" x14ac:dyDescent="0.2">
      <c r="A91" s="1" t="s">
        <v>425</v>
      </c>
      <c r="B91" s="1">
        <v>10</v>
      </c>
      <c r="C91" s="1" t="s">
        <v>1313</v>
      </c>
      <c r="D91" s="1" t="s">
        <v>2671</v>
      </c>
      <c r="E91" s="1" t="s">
        <v>3122</v>
      </c>
      <c r="F91" s="1" t="s">
        <v>2672</v>
      </c>
      <c r="G91" s="1" t="s">
        <v>3123</v>
      </c>
      <c r="H91" s="1" t="s">
        <v>2672</v>
      </c>
      <c r="I91" s="1" t="s">
        <v>94</v>
      </c>
      <c r="J91" s="1" t="s">
        <v>3123</v>
      </c>
      <c r="K91" s="1">
        <v>390</v>
      </c>
      <c r="L91" s="1">
        <v>1</v>
      </c>
    </row>
    <row r="92" spans="1:12" ht="28.5" x14ac:dyDescent="0.2">
      <c r="A92" s="1" t="s">
        <v>455</v>
      </c>
      <c r="B92" s="1">
        <v>6</v>
      </c>
      <c r="C92" s="1" t="s">
        <v>2674</v>
      </c>
      <c r="D92" s="1" t="s">
        <v>989</v>
      </c>
      <c r="E92" s="1" t="s">
        <v>2675</v>
      </c>
      <c r="F92" s="1" t="s">
        <v>2676</v>
      </c>
      <c r="G92" s="1" t="s">
        <v>2677</v>
      </c>
      <c r="H92" s="1" t="s">
        <v>2676</v>
      </c>
      <c r="I92" s="1" t="s">
        <v>88</v>
      </c>
      <c r="J92" s="1" t="s">
        <v>2677</v>
      </c>
      <c r="K92" s="1">
        <v>194</v>
      </c>
    </row>
    <row r="93" spans="1:12" x14ac:dyDescent="0.2">
      <c r="A93" s="1" t="s">
        <v>455</v>
      </c>
      <c r="B93" s="1">
        <v>6</v>
      </c>
      <c r="C93" s="1" t="s">
        <v>2678</v>
      </c>
      <c r="D93" s="1" t="s">
        <v>2679</v>
      </c>
      <c r="E93" s="1" t="s">
        <v>2680</v>
      </c>
      <c r="F93" s="1" t="s">
        <v>2681</v>
      </c>
      <c r="G93" s="1" t="s">
        <v>2682</v>
      </c>
      <c r="H93" s="1" t="s">
        <v>2681</v>
      </c>
      <c r="I93" s="1" t="s">
        <v>88</v>
      </c>
      <c r="J93" s="1" t="s">
        <v>2682</v>
      </c>
      <c r="K93" s="1">
        <v>144</v>
      </c>
    </row>
    <row r="94" spans="1:12" ht="28.5" x14ac:dyDescent="0.2">
      <c r="A94" s="1" t="s">
        <v>455</v>
      </c>
      <c r="B94" s="1">
        <v>6</v>
      </c>
      <c r="C94" s="1" t="s">
        <v>460</v>
      </c>
      <c r="D94" s="1" t="str">
        <f>VLOOKUP(C94,[1]泡!$C:$D,2,0)</f>
        <v>A116</v>
      </c>
      <c r="E94" s="1" t="str">
        <f>VLOOKUP(C94,[1]泡!$C:$E,3,0)</f>
        <v>A：左下2号单点（存）
E：左三连点</v>
      </c>
      <c r="F94" s="1" t="str">
        <f>VLOOKUP(C94,[1]泡!$C:$F,4,0)</f>
        <v>B232</v>
      </c>
      <c r="G94" s="1" t="str">
        <f>VLOOKUP(C94,[1]泡!$C:$G,5,0)</f>
        <v>B：左边往下1开始三连点
E：右边5单点</v>
      </c>
      <c r="H94" s="1" t="str">
        <f>VLOOKUP(C94,[1]泡!$C:$H,6,0)</f>
        <v>B231</v>
      </c>
      <c r="I94" s="1" t="str">
        <f>VLOOKUP(C94,[1]泡!$C:$I,7,0)</f>
        <v>爆气</v>
      </c>
      <c r="J94" s="1" t="str">
        <f>VLOOKUP(C94,[1]泡!$C:$J,8,0)</f>
        <v>B：229绿条按住2cb
E：蓝条结束</v>
      </c>
      <c r="K94" s="1">
        <f>VLOOKUP(C94,[1]泡!$C:$K,9,0)</f>
        <v>135</v>
      </c>
    </row>
    <row r="95" spans="1:12" ht="28.5" x14ac:dyDescent="0.2">
      <c r="A95" s="1" t="s">
        <v>455</v>
      </c>
      <c r="B95" s="1">
        <v>6</v>
      </c>
      <c r="C95" s="1" t="s">
        <v>2683</v>
      </c>
      <c r="D95" s="1" t="str">
        <f>VLOOKUP(C95,[1]泡!$C:$D,2,0)</f>
        <v>B193</v>
      </c>
      <c r="E95" s="1" t="str">
        <f>VLOOKUP(C95,[1]泡!$C:$E,3,0)</f>
        <v>B：右手5绿条按住1cb
E：右下单点</v>
      </c>
      <c r="F95" s="1" t="str">
        <f>VLOOKUP(C95,[1]泡!$C:$F,4,0)</f>
        <v>B244</v>
      </c>
      <c r="G95" s="1" t="str">
        <f>VLOOKUP(C95,[1]泡!$C:$G,5,0)</f>
        <v>B：右1绿条按住1cb
E：中6单点</v>
      </c>
      <c r="H95" s="1" t="str">
        <f>VLOOKUP(C95,[1]泡!$C:$H,6,0)</f>
        <v>B244</v>
      </c>
      <c r="I95" s="1" t="str">
        <f>VLOOKUP(C95,[1]泡!$C:$I,7,0)</f>
        <v>爆气</v>
      </c>
      <c r="J95" s="1" t="str">
        <f>VLOOKUP(C95,[1]泡!$C:$J,8,0)</f>
        <v>B：右1绿条按住1cb
E：中6单点</v>
      </c>
      <c r="K95" s="1">
        <f>VLOOKUP(C95,[1]泡!$C:$K,9,0)</f>
        <v>171</v>
      </c>
    </row>
    <row r="96" spans="1:12" ht="42.75" x14ac:dyDescent="0.2">
      <c r="A96" s="1" t="s">
        <v>455</v>
      </c>
      <c r="B96" s="1">
        <v>7</v>
      </c>
      <c r="C96" s="1" t="s">
        <v>479</v>
      </c>
      <c r="D96" s="1" t="s">
        <v>2529</v>
      </c>
      <c r="E96" s="1" t="s">
        <v>2684</v>
      </c>
      <c r="F96" s="1" t="s">
        <v>1122</v>
      </c>
      <c r="G96" s="1" t="s">
        <v>2685</v>
      </c>
      <c r="H96" s="1" t="s">
        <v>2529</v>
      </c>
      <c r="I96" s="1" t="s">
        <v>94</v>
      </c>
      <c r="J96" s="1" t="s">
        <v>2684</v>
      </c>
      <c r="K96" s="1">
        <v>193</v>
      </c>
    </row>
    <row r="97" spans="1:12" ht="28.5" x14ac:dyDescent="0.2">
      <c r="A97" s="1" t="s">
        <v>455</v>
      </c>
      <c r="B97" s="1">
        <v>7</v>
      </c>
      <c r="C97" s="1" t="s">
        <v>456</v>
      </c>
      <c r="D97" s="1" t="str">
        <f>VLOOKUP(C97,[1]泡!$C:$D,2,0)</f>
        <v>A137</v>
      </c>
      <c r="E97" s="1" t="str">
        <f>VLOOKUP(C97,[1]泡!$C:$E,3,0)</f>
        <v>A：右手1开始三连点
E：右手4单点</v>
      </c>
      <c r="F97" s="1" t="str">
        <f>VLOOKUP(C97,[1]泡!$C:$F,4,0)</f>
        <v>B249</v>
      </c>
      <c r="G97" s="1" t="str">
        <f>VLOOKUP(C97,[1]泡!$C:$G,5,0)</f>
        <v>B：左下9开始三连点
E：右手6单点</v>
      </c>
      <c r="H97" s="1" t="str">
        <f>VLOOKUP(C97,[1]泡!$C:$H,6,0)</f>
        <v>B249</v>
      </c>
      <c r="I97" s="1" t="str">
        <f>VLOOKUP(C97,[1]泡!$C:$I,7,0)</f>
        <v>爆气</v>
      </c>
      <c r="J97" s="1" t="str">
        <f>VLOOKUP(C97,[1]泡!$C:$J,8,0)</f>
        <v>B：左下9开始三连点
E：右手6单点</v>
      </c>
      <c r="K97" s="1">
        <f>VLOOKUP(C97,[1]泡!$C:$K,9,0)</f>
        <v>121</v>
      </c>
    </row>
    <row r="98" spans="1:12" x14ac:dyDescent="0.2">
      <c r="A98" s="1" t="s">
        <v>455</v>
      </c>
      <c r="B98" s="1">
        <v>8</v>
      </c>
      <c r="C98" s="1" t="s">
        <v>465</v>
      </c>
      <c r="D98" s="1" t="s">
        <v>2431</v>
      </c>
      <c r="E98" s="1" t="s">
        <v>2686</v>
      </c>
      <c r="F98" s="1" t="s">
        <v>2576</v>
      </c>
      <c r="G98" s="1" t="s">
        <v>2687</v>
      </c>
      <c r="H98" s="1" t="s">
        <v>2576</v>
      </c>
      <c r="I98" s="1" t="s">
        <v>88</v>
      </c>
      <c r="J98" s="1" t="s">
        <v>2687</v>
      </c>
      <c r="K98" s="1">
        <v>167</v>
      </c>
    </row>
    <row r="99" spans="1:12" x14ac:dyDescent="0.2">
      <c r="A99" s="1" t="s">
        <v>455</v>
      </c>
      <c r="B99" s="1">
        <v>8</v>
      </c>
      <c r="C99" s="1" t="s">
        <v>470</v>
      </c>
      <c r="D99" s="1" t="s">
        <v>2688</v>
      </c>
      <c r="E99" s="1" t="s">
        <v>2689</v>
      </c>
      <c r="F99" s="1" t="s">
        <v>205</v>
      </c>
      <c r="G99" s="1" t="s">
        <v>2690</v>
      </c>
      <c r="H99" s="1" t="s">
        <v>205</v>
      </c>
      <c r="I99" s="1" t="s">
        <v>94</v>
      </c>
      <c r="J99" s="1" t="s">
        <v>2690</v>
      </c>
      <c r="K99" s="1">
        <v>257</v>
      </c>
    </row>
    <row r="100" spans="1:12" ht="57" x14ac:dyDescent="0.2">
      <c r="A100" s="1" t="s">
        <v>455</v>
      </c>
      <c r="B100" s="1">
        <v>9</v>
      </c>
      <c r="C100" s="1" t="s">
        <v>496</v>
      </c>
      <c r="D100" s="1" t="s">
        <v>2537</v>
      </c>
      <c r="E100" s="1" t="s">
        <v>2691</v>
      </c>
      <c r="F100" s="1" t="s">
        <v>1672</v>
      </c>
      <c r="G100" s="1" t="s">
        <v>2692</v>
      </c>
      <c r="H100" s="1" t="s">
        <v>1672</v>
      </c>
      <c r="I100" s="1" t="s">
        <v>94</v>
      </c>
      <c r="J100" s="1" t="s">
        <v>2692</v>
      </c>
      <c r="K100" s="1">
        <v>240</v>
      </c>
    </row>
    <row r="101" spans="1:12" ht="28.5" x14ac:dyDescent="0.2">
      <c r="A101" s="1" t="s">
        <v>455</v>
      </c>
      <c r="B101" s="1">
        <v>9</v>
      </c>
      <c r="C101" s="1" t="s">
        <v>475</v>
      </c>
      <c r="D101" s="1" t="s">
        <v>859</v>
      </c>
      <c r="E101" s="1" t="s">
        <v>2693</v>
      </c>
      <c r="F101" s="1" t="s">
        <v>1516</v>
      </c>
      <c r="G101" s="1" t="s">
        <v>2694</v>
      </c>
      <c r="H101" s="1" t="s">
        <v>859</v>
      </c>
      <c r="I101" s="1" t="s">
        <v>94</v>
      </c>
      <c r="J101" s="1" t="s">
        <v>2693</v>
      </c>
      <c r="K101" s="1">
        <v>256</v>
      </c>
    </row>
    <row r="102" spans="1:12" ht="28.5" x14ac:dyDescent="0.2">
      <c r="A102" s="1" t="s">
        <v>455</v>
      </c>
      <c r="B102" s="1">
        <v>9</v>
      </c>
      <c r="C102" s="1" t="s">
        <v>484</v>
      </c>
      <c r="D102" s="1" t="str">
        <f>VLOOKUP(C102,[1]泡!$C:$D,2,0)</f>
        <v>A70</v>
      </c>
      <c r="E102" s="1" t="str">
        <f>VLOOKUP(C102,[1]泡!$C:$E,3,0)</f>
        <v>A：中下6号球
E：右2号球</v>
      </c>
      <c r="F102" s="1" t="str">
        <f>VLOOKUP(C102,[1]泡!$C:$F,4,0)</f>
        <v>B277</v>
      </c>
      <c r="G102" s="1" t="str">
        <f>VLOOKUP(C102,[1]泡!$C:$G,5,0)</f>
        <v>B：中下6号球
E：右2号球</v>
      </c>
      <c r="H102" s="1" t="str">
        <f>VLOOKUP(C102,[1]泡!$C:$H,6,0)</f>
        <v>B277</v>
      </c>
      <c r="I102" s="1" t="str">
        <f>VLOOKUP(C102,[1]泡!$C:$I,7,0)</f>
        <v>爆气</v>
      </c>
      <c r="J102" s="1" t="str">
        <f>VLOOKUP(C102,[1]泡!$C:$J,8,0)</f>
        <v>B：中下6号球
E：右2号球</v>
      </c>
      <c r="K102" s="1">
        <f>VLOOKUP(C102,[1]泡!$C:$K,9,0)</f>
        <v>196</v>
      </c>
    </row>
    <row r="103" spans="1:12" ht="28.5" x14ac:dyDescent="0.2">
      <c r="A103" s="1" t="s">
        <v>455</v>
      </c>
      <c r="B103" s="1">
        <v>9</v>
      </c>
      <c r="C103" s="1" t="s">
        <v>2055</v>
      </c>
      <c r="D103" s="1" t="str">
        <f>VLOOKUP(C103,[1]泡!$C:$D,2,0)</f>
        <v>B204</v>
      </c>
      <c r="E103" s="1" t="str">
        <f>VLOOKUP(C103,[1]泡!$C:$E,3,0)</f>
        <v>B：右下角9号球
E：右上角14号球</v>
      </c>
      <c r="F103" s="1" t="str">
        <f>VLOOKUP(C103,[1]泡!$C:$F,4,0)</f>
        <v>B432</v>
      </c>
      <c r="G103" s="1" t="str">
        <f>VLOOKUP(C103,[1]泡!$C:$G,5,0)</f>
        <v>B：左上角9号球
E：左下角14号球</v>
      </c>
      <c r="H103" s="1" t="str">
        <f>VLOOKUP(C103,[1]泡!$C:$H,6,0)</f>
        <v>B432</v>
      </c>
      <c r="I103" s="1" t="str">
        <f>VLOOKUP(C103,[1]泡!$C:$I,7,0)</f>
        <v>极限</v>
      </c>
      <c r="J103" s="1" t="str">
        <f>VLOOKUP(C103,[1]泡!$C:$J,8,0)</f>
        <v>B：左上角9号球
E：左下角14号球</v>
      </c>
      <c r="K103" s="1">
        <f>VLOOKUP(C103,[1]泡!$C:$K,9,0)</f>
        <v>252</v>
      </c>
    </row>
    <row r="104" spans="1:12" x14ac:dyDescent="0.2">
      <c r="A104" s="1" t="s">
        <v>455</v>
      </c>
      <c r="B104" s="1">
        <v>10</v>
      </c>
      <c r="C104" s="1" t="s">
        <v>490</v>
      </c>
      <c r="D104" s="1" t="s">
        <v>2399</v>
      </c>
      <c r="E104" s="1" t="s">
        <v>2695</v>
      </c>
      <c r="F104" s="1" t="s">
        <v>2309</v>
      </c>
      <c r="G104" s="1" t="s">
        <v>2696</v>
      </c>
      <c r="H104" s="1" t="s">
        <v>2309</v>
      </c>
      <c r="I104" s="1" t="s">
        <v>94</v>
      </c>
      <c r="J104" s="1" t="s">
        <v>2696</v>
      </c>
      <c r="K104" s="1">
        <v>429</v>
      </c>
    </row>
    <row r="105" spans="1:12" ht="42.75" x14ac:dyDescent="0.2">
      <c r="A105" s="1" t="s">
        <v>515</v>
      </c>
      <c r="B105" s="1">
        <v>6</v>
      </c>
      <c r="C105" s="1" t="s">
        <v>2697</v>
      </c>
      <c r="D105" s="1" t="s">
        <v>942</v>
      </c>
      <c r="E105" s="1" t="s">
        <v>3137</v>
      </c>
      <c r="F105" s="1" t="s">
        <v>1102</v>
      </c>
      <c r="G105" s="1" t="s">
        <v>3138</v>
      </c>
      <c r="H105" s="1" t="s">
        <v>942</v>
      </c>
      <c r="I105" s="1" t="s">
        <v>3068</v>
      </c>
      <c r="J105" s="1" t="s">
        <v>3137</v>
      </c>
      <c r="K105" s="1">
        <v>154</v>
      </c>
      <c r="L105" s="1">
        <v>1</v>
      </c>
    </row>
    <row r="106" spans="1:12" ht="47.25" x14ac:dyDescent="0.2">
      <c r="A106" s="1" t="s">
        <v>515</v>
      </c>
      <c r="B106" s="1">
        <v>7</v>
      </c>
      <c r="C106" s="1" t="s">
        <v>516</v>
      </c>
      <c r="D106" s="1" t="s">
        <v>609</v>
      </c>
      <c r="E106" s="53" t="s">
        <v>3170</v>
      </c>
      <c r="F106" s="1" t="s">
        <v>2698</v>
      </c>
      <c r="G106" s="1" t="s">
        <v>2699</v>
      </c>
      <c r="H106" s="1" t="s">
        <v>156</v>
      </c>
      <c r="I106" s="1" t="s">
        <v>94</v>
      </c>
      <c r="J106" s="1" t="s">
        <v>3164</v>
      </c>
      <c r="K106" s="1">
        <v>189</v>
      </c>
    </row>
    <row r="107" spans="1:12" ht="42.75" x14ac:dyDescent="0.2">
      <c r="A107" s="1" t="s">
        <v>515</v>
      </c>
      <c r="B107" s="1">
        <v>8</v>
      </c>
      <c r="C107" s="1" t="s">
        <v>522</v>
      </c>
      <c r="D107" s="1" t="s">
        <v>2700</v>
      </c>
      <c r="E107" s="1" t="s">
        <v>3115</v>
      </c>
      <c r="F107" s="1" t="s">
        <v>2701</v>
      </c>
      <c r="G107" s="1" t="s">
        <v>3091</v>
      </c>
      <c r="H107" s="1" t="s">
        <v>2701</v>
      </c>
      <c r="I107" s="1" t="s">
        <v>94</v>
      </c>
      <c r="J107" s="1" t="s">
        <v>3103</v>
      </c>
      <c r="K107" s="1">
        <v>333</v>
      </c>
      <c r="L107" s="1">
        <v>1</v>
      </c>
    </row>
    <row r="108" spans="1:12" ht="42.75" x14ac:dyDescent="0.2">
      <c r="A108" s="1" t="s">
        <v>515</v>
      </c>
      <c r="B108" s="1">
        <v>8</v>
      </c>
      <c r="C108" s="1" t="s">
        <v>532</v>
      </c>
      <c r="D108" s="1" t="s">
        <v>2315</v>
      </c>
      <c r="E108" s="1" t="s">
        <v>3150</v>
      </c>
      <c r="F108" s="1" t="s">
        <v>98</v>
      </c>
      <c r="G108" s="1" t="s">
        <v>3092</v>
      </c>
      <c r="H108" s="1" t="s">
        <v>2315</v>
      </c>
      <c r="I108" s="1" t="s">
        <v>3069</v>
      </c>
      <c r="J108" s="1" t="s">
        <v>3150</v>
      </c>
      <c r="K108" s="1">
        <v>311</v>
      </c>
      <c r="L108" s="1">
        <v>1</v>
      </c>
    </row>
    <row r="109" spans="1:12" ht="57" x14ac:dyDescent="0.2">
      <c r="A109" s="1" t="s">
        <v>515</v>
      </c>
      <c r="B109" s="1">
        <v>9</v>
      </c>
      <c r="C109" s="1" t="s">
        <v>537</v>
      </c>
      <c r="D109" s="1" t="s">
        <v>128</v>
      </c>
      <c r="E109" s="1" t="s">
        <v>2702</v>
      </c>
      <c r="F109" s="1" t="s">
        <v>626</v>
      </c>
      <c r="G109" s="1" t="s">
        <v>2703</v>
      </c>
      <c r="H109" s="1" t="s">
        <v>128</v>
      </c>
      <c r="I109" s="1" t="s">
        <v>94</v>
      </c>
      <c r="J109" s="1" t="s">
        <v>2702</v>
      </c>
      <c r="K109" s="1">
        <v>257</v>
      </c>
    </row>
    <row r="110" spans="1:12" ht="57" x14ac:dyDescent="0.2">
      <c r="A110" s="1" t="s">
        <v>515</v>
      </c>
      <c r="B110" s="1">
        <v>9</v>
      </c>
      <c r="C110" s="1" t="s">
        <v>1376</v>
      </c>
      <c r="D110" s="1" t="s">
        <v>1279</v>
      </c>
      <c r="E110" s="1" t="s">
        <v>3124</v>
      </c>
      <c r="F110" s="1" t="s">
        <v>413</v>
      </c>
      <c r="G110" s="1" t="s">
        <v>3125</v>
      </c>
      <c r="H110" s="1" t="s">
        <v>413</v>
      </c>
      <c r="I110" s="1" t="s">
        <v>94</v>
      </c>
      <c r="J110" s="1" t="s">
        <v>3125</v>
      </c>
      <c r="K110" s="1">
        <v>379</v>
      </c>
      <c r="L110" s="1">
        <v>1</v>
      </c>
    </row>
    <row r="111" spans="1:12" ht="57" x14ac:dyDescent="0.2">
      <c r="A111" s="1" t="s">
        <v>515</v>
      </c>
      <c r="B111" s="1">
        <v>9</v>
      </c>
      <c r="C111" s="1" t="s">
        <v>542</v>
      </c>
      <c r="D111" s="1" t="s">
        <v>451</v>
      </c>
      <c r="E111" s="1" t="s">
        <v>3139</v>
      </c>
      <c r="F111" s="1" t="s">
        <v>1433</v>
      </c>
      <c r="G111" s="1" t="s">
        <v>3140</v>
      </c>
      <c r="H111" s="1" t="s">
        <v>451</v>
      </c>
      <c r="I111" s="1" t="s">
        <v>94</v>
      </c>
      <c r="J111" s="1" t="s">
        <v>3139</v>
      </c>
      <c r="K111" s="1">
        <v>230</v>
      </c>
      <c r="L111" s="1">
        <v>1</v>
      </c>
    </row>
    <row r="112" spans="1:12" ht="42.75" x14ac:dyDescent="0.2">
      <c r="A112" s="1" t="s">
        <v>515</v>
      </c>
      <c r="B112" s="1">
        <v>9</v>
      </c>
      <c r="C112" s="1" t="s">
        <v>546</v>
      </c>
      <c r="D112" s="1" t="s">
        <v>2704</v>
      </c>
      <c r="E112" s="1" t="s">
        <v>2705</v>
      </c>
      <c r="F112" s="1" t="s">
        <v>2607</v>
      </c>
      <c r="G112" s="1" t="s">
        <v>2706</v>
      </c>
      <c r="H112" s="1" t="s">
        <v>2704</v>
      </c>
      <c r="I112" s="1" t="s">
        <v>94</v>
      </c>
      <c r="J112" s="1" t="s">
        <v>2705</v>
      </c>
      <c r="K112" s="1">
        <v>243</v>
      </c>
    </row>
    <row r="113" spans="1:12" ht="28.5" x14ac:dyDescent="0.2">
      <c r="A113" s="1" t="s">
        <v>551</v>
      </c>
      <c r="B113" s="1">
        <v>6</v>
      </c>
      <c r="C113" s="1" t="s">
        <v>2707</v>
      </c>
      <c r="D113" s="1" t="s">
        <v>2340</v>
      </c>
      <c r="E113" s="1" t="s">
        <v>2708</v>
      </c>
      <c r="F113" s="1" t="s">
        <v>2709</v>
      </c>
      <c r="G113" s="1" t="s">
        <v>2710</v>
      </c>
      <c r="H113" s="1" t="s">
        <v>2709</v>
      </c>
      <c r="I113" s="1" t="s">
        <v>88</v>
      </c>
      <c r="J113" s="1" t="s">
        <v>2710</v>
      </c>
      <c r="K113" s="1">
        <v>118</v>
      </c>
    </row>
    <row r="114" spans="1:12" ht="57" x14ac:dyDescent="0.2">
      <c r="A114" s="1" t="s">
        <v>551</v>
      </c>
      <c r="B114" s="1">
        <v>6</v>
      </c>
      <c r="C114" s="1" t="s">
        <v>2711</v>
      </c>
      <c r="D114" s="1" t="s">
        <v>887</v>
      </c>
      <c r="E114" s="1" t="s">
        <v>2712</v>
      </c>
      <c r="F114" s="1" t="s">
        <v>2713</v>
      </c>
      <c r="G114" s="1" t="s">
        <v>2714</v>
      </c>
      <c r="H114" s="1" t="s">
        <v>2713</v>
      </c>
      <c r="I114" s="1" t="s">
        <v>88</v>
      </c>
      <c r="J114" s="1" t="s">
        <v>2714</v>
      </c>
      <c r="K114" s="1">
        <v>203</v>
      </c>
    </row>
    <row r="115" spans="1:12" ht="28.5" x14ac:dyDescent="0.2">
      <c r="A115" s="1" t="s">
        <v>551</v>
      </c>
      <c r="B115" s="1">
        <v>6</v>
      </c>
      <c r="C115" s="1" t="s">
        <v>2093</v>
      </c>
      <c r="D115" s="1" t="s">
        <v>2715</v>
      </c>
      <c r="E115" s="1" t="s">
        <v>2538</v>
      </c>
      <c r="F115" s="1" t="s">
        <v>1738</v>
      </c>
      <c r="G115" s="1" t="s">
        <v>2716</v>
      </c>
      <c r="H115" s="1" t="s">
        <v>1738</v>
      </c>
      <c r="I115" s="1" t="s">
        <v>88</v>
      </c>
      <c r="J115" s="1" t="s">
        <v>2716</v>
      </c>
      <c r="K115" s="1">
        <v>164</v>
      </c>
    </row>
    <row r="116" spans="1:12" x14ac:dyDescent="0.2">
      <c r="A116" s="1" t="s">
        <v>551</v>
      </c>
      <c r="B116" s="1">
        <v>6</v>
      </c>
      <c r="C116" s="1" t="s">
        <v>552</v>
      </c>
      <c r="D116" s="1" t="s">
        <v>2717</v>
      </c>
      <c r="E116" s="1" t="s">
        <v>2718</v>
      </c>
      <c r="F116" s="1" t="s">
        <v>2463</v>
      </c>
      <c r="G116" s="1" t="s">
        <v>2719</v>
      </c>
      <c r="H116" s="1" t="s">
        <v>2463</v>
      </c>
      <c r="I116" s="1" t="s">
        <v>88</v>
      </c>
      <c r="J116" s="1" t="s">
        <v>2719</v>
      </c>
      <c r="K116" s="1">
        <v>146</v>
      </c>
    </row>
    <row r="117" spans="1:12" ht="42.75" x14ac:dyDescent="0.2">
      <c r="A117" s="1" t="s">
        <v>551</v>
      </c>
      <c r="B117" s="1">
        <v>9</v>
      </c>
      <c r="C117" s="1" t="s">
        <v>1401</v>
      </c>
      <c r="D117" s="1" t="s">
        <v>2720</v>
      </c>
      <c r="E117" s="1" t="s">
        <v>3104</v>
      </c>
      <c r="F117" s="1" t="s">
        <v>2721</v>
      </c>
      <c r="G117" s="1" t="s">
        <v>3126</v>
      </c>
      <c r="H117" s="1" t="s">
        <v>2720</v>
      </c>
      <c r="I117" s="1" t="s">
        <v>94</v>
      </c>
      <c r="J117" s="1" t="s">
        <v>3104</v>
      </c>
      <c r="K117" s="1">
        <v>211</v>
      </c>
      <c r="L117" s="1">
        <v>1</v>
      </c>
    </row>
    <row r="118" spans="1:12" x14ac:dyDescent="0.2">
      <c r="A118" s="1" t="s">
        <v>551</v>
      </c>
      <c r="B118" s="1">
        <v>10</v>
      </c>
      <c r="C118" s="1" t="s">
        <v>564</v>
      </c>
      <c r="D118" s="1" t="s">
        <v>2671</v>
      </c>
      <c r="E118" s="1" t="s">
        <v>2722</v>
      </c>
      <c r="F118" s="1" t="s">
        <v>560</v>
      </c>
      <c r="G118" s="1" t="s">
        <v>2723</v>
      </c>
      <c r="H118" s="1" t="s">
        <v>2671</v>
      </c>
      <c r="I118" s="1" t="s">
        <v>94</v>
      </c>
      <c r="J118" s="1" t="s">
        <v>2722</v>
      </c>
      <c r="K118" s="1">
        <v>352</v>
      </c>
    </row>
    <row r="119" spans="1:12" ht="42.75" x14ac:dyDescent="0.2">
      <c r="A119" s="1" t="s">
        <v>551</v>
      </c>
      <c r="B119" s="1">
        <v>10</v>
      </c>
      <c r="C119" s="1" t="s">
        <v>557</v>
      </c>
      <c r="D119" s="1" t="s">
        <v>323</v>
      </c>
      <c r="E119" s="1" t="s">
        <v>3082</v>
      </c>
      <c r="F119" s="1" t="s">
        <v>2309</v>
      </c>
      <c r="G119" s="1" t="s">
        <v>3093</v>
      </c>
      <c r="H119" s="1" t="s">
        <v>2309</v>
      </c>
      <c r="I119" s="1" t="s">
        <v>94</v>
      </c>
      <c r="J119" s="1" t="s">
        <v>3105</v>
      </c>
      <c r="K119" s="1">
        <v>359</v>
      </c>
      <c r="L119" s="1">
        <v>1</v>
      </c>
    </row>
    <row r="120" spans="1:12" x14ac:dyDescent="0.2">
      <c r="A120" s="1" t="s">
        <v>569</v>
      </c>
      <c r="B120" s="1">
        <v>7</v>
      </c>
      <c r="C120" s="1" t="s">
        <v>2724</v>
      </c>
      <c r="D120" s="1" t="s">
        <v>2471</v>
      </c>
      <c r="E120" s="1" t="s">
        <v>2579</v>
      </c>
      <c r="F120" s="1" t="s">
        <v>1771</v>
      </c>
      <c r="G120" s="1" t="s">
        <v>2725</v>
      </c>
      <c r="H120" s="1" t="s">
        <v>1771</v>
      </c>
      <c r="I120" s="1" t="s">
        <v>88</v>
      </c>
      <c r="J120" s="1" t="s">
        <v>2725</v>
      </c>
      <c r="K120" s="1">
        <v>155</v>
      </c>
    </row>
    <row r="121" spans="1:12" x14ac:dyDescent="0.2">
      <c r="A121" s="1" t="s">
        <v>569</v>
      </c>
      <c r="B121" s="1">
        <v>7</v>
      </c>
      <c r="C121" s="1" t="s">
        <v>570</v>
      </c>
      <c r="D121" s="1" t="s">
        <v>2726</v>
      </c>
      <c r="E121" s="1" t="s">
        <v>2727</v>
      </c>
      <c r="F121" s="1" t="s">
        <v>2681</v>
      </c>
      <c r="G121" s="1" t="s">
        <v>2728</v>
      </c>
      <c r="H121" s="1" t="s">
        <v>2726</v>
      </c>
      <c r="I121" s="1" t="s">
        <v>88</v>
      </c>
      <c r="J121" s="1" t="s">
        <v>2727</v>
      </c>
      <c r="K121" s="1">
        <v>134</v>
      </c>
    </row>
    <row r="122" spans="1:12" ht="57" x14ac:dyDescent="0.2">
      <c r="A122" s="1" t="s">
        <v>569</v>
      </c>
      <c r="B122" s="1">
        <v>10</v>
      </c>
      <c r="C122" s="1" t="s">
        <v>1412</v>
      </c>
      <c r="D122" s="1" t="s">
        <v>3070</v>
      </c>
      <c r="E122" s="1" t="s">
        <v>3127</v>
      </c>
      <c r="F122" s="1" t="s">
        <v>200</v>
      </c>
      <c r="G122" s="1" t="s">
        <v>3128</v>
      </c>
      <c r="H122" s="1" t="s">
        <v>3070</v>
      </c>
      <c r="I122" s="1" t="s">
        <v>3068</v>
      </c>
      <c r="J122" s="1" t="s">
        <v>3127</v>
      </c>
      <c r="K122" s="1">
        <v>329</v>
      </c>
      <c r="L122" s="1">
        <v>1</v>
      </c>
    </row>
    <row r="123" spans="1:12" x14ac:dyDescent="0.2">
      <c r="A123" s="1" t="s">
        <v>569</v>
      </c>
      <c r="B123" s="1">
        <v>10</v>
      </c>
      <c r="C123" s="1" t="s">
        <v>1416</v>
      </c>
      <c r="D123" s="1" t="s">
        <v>215</v>
      </c>
      <c r="E123" s="1" t="s">
        <v>2729</v>
      </c>
      <c r="F123" s="1" t="s">
        <v>1814</v>
      </c>
      <c r="G123" s="1" t="s">
        <v>2730</v>
      </c>
      <c r="H123" s="1" t="s">
        <v>215</v>
      </c>
      <c r="I123" s="1" t="s">
        <v>94</v>
      </c>
      <c r="J123" s="1" t="s">
        <v>2729</v>
      </c>
      <c r="K123" s="1">
        <v>442</v>
      </c>
    </row>
    <row r="124" spans="1:12" x14ac:dyDescent="0.2">
      <c r="A124" s="1" t="s">
        <v>569</v>
      </c>
      <c r="B124" s="1">
        <v>10</v>
      </c>
      <c r="C124" s="1" t="s">
        <v>575</v>
      </c>
      <c r="D124" s="1" t="s">
        <v>2731</v>
      </c>
      <c r="E124" s="1" t="s">
        <v>2732</v>
      </c>
      <c r="F124" s="1" t="s">
        <v>463</v>
      </c>
      <c r="G124" s="1" t="s">
        <v>2733</v>
      </c>
      <c r="H124" s="1" t="s">
        <v>463</v>
      </c>
      <c r="I124" s="1" t="s">
        <v>94</v>
      </c>
      <c r="J124" s="1" t="s">
        <v>2733</v>
      </c>
      <c r="K124" s="1">
        <v>394</v>
      </c>
    </row>
    <row r="125" spans="1:12" x14ac:dyDescent="0.2">
      <c r="A125" s="1" t="s">
        <v>581</v>
      </c>
      <c r="B125" s="1">
        <v>6</v>
      </c>
      <c r="C125" s="1" t="s">
        <v>2734</v>
      </c>
      <c r="D125" s="1" t="s">
        <v>2735</v>
      </c>
      <c r="E125" s="1" t="s">
        <v>2535</v>
      </c>
      <c r="F125" s="1" t="s">
        <v>2736</v>
      </c>
      <c r="G125" s="1" t="s">
        <v>2737</v>
      </c>
      <c r="H125" s="1" t="s">
        <v>2736</v>
      </c>
      <c r="I125" s="1" t="s">
        <v>88</v>
      </c>
      <c r="J125" s="1" t="s">
        <v>2737</v>
      </c>
      <c r="K125" s="1">
        <v>114</v>
      </c>
    </row>
    <row r="126" spans="1:12" x14ac:dyDescent="0.2">
      <c r="A126" s="1" t="s">
        <v>581</v>
      </c>
      <c r="B126" s="1">
        <v>6</v>
      </c>
      <c r="C126" s="1" t="s">
        <v>2738</v>
      </c>
      <c r="D126" s="1" t="s">
        <v>2739</v>
      </c>
      <c r="E126" s="1" t="s">
        <v>2740</v>
      </c>
      <c r="F126" s="1" t="s">
        <v>2741</v>
      </c>
      <c r="G126" s="1" t="s">
        <v>2742</v>
      </c>
      <c r="H126" s="1" t="s">
        <v>2741</v>
      </c>
      <c r="I126" s="1" t="s">
        <v>88</v>
      </c>
      <c r="J126" s="1" t="s">
        <v>2742</v>
      </c>
      <c r="K126" s="1">
        <v>197</v>
      </c>
    </row>
    <row r="127" spans="1:12" x14ac:dyDescent="0.2">
      <c r="A127" s="1" t="s">
        <v>581</v>
      </c>
      <c r="B127" s="1">
        <v>6</v>
      </c>
      <c r="C127" s="1" t="s">
        <v>2125</v>
      </c>
      <c r="D127" s="1" t="s">
        <v>2583</v>
      </c>
      <c r="E127" s="1" t="s">
        <v>2551</v>
      </c>
      <c r="F127" s="1" t="s">
        <v>2743</v>
      </c>
      <c r="G127" s="1" t="s">
        <v>2538</v>
      </c>
      <c r="H127" s="1" t="s">
        <v>2583</v>
      </c>
      <c r="I127" s="1" t="s">
        <v>94</v>
      </c>
      <c r="J127" s="1" t="s">
        <v>2551</v>
      </c>
      <c r="K127" s="1">
        <v>172</v>
      </c>
    </row>
    <row r="128" spans="1:12" x14ac:dyDescent="0.2">
      <c r="A128" s="1" t="s">
        <v>581</v>
      </c>
      <c r="B128" s="1">
        <v>6</v>
      </c>
      <c r="C128" s="1" t="s">
        <v>2136</v>
      </c>
      <c r="D128" s="1" t="s">
        <v>2744</v>
      </c>
      <c r="E128" s="1" t="s">
        <v>2745</v>
      </c>
      <c r="F128" s="1" t="s">
        <v>2746</v>
      </c>
      <c r="G128" s="1" t="s">
        <v>2747</v>
      </c>
      <c r="H128" s="1" t="s">
        <v>2744</v>
      </c>
      <c r="I128" s="1" t="s">
        <v>88</v>
      </c>
      <c r="J128" s="1" t="s">
        <v>2745</v>
      </c>
      <c r="K128" s="1">
        <v>138</v>
      </c>
    </row>
    <row r="129" spans="1:12" x14ac:dyDescent="0.2">
      <c r="A129" s="1" t="s">
        <v>581</v>
      </c>
      <c r="B129" s="1">
        <v>7</v>
      </c>
      <c r="C129" s="1" t="s">
        <v>2748</v>
      </c>
      <c r="D129" s="1" t="s">
        <v>2749</v>
      </c>
      <c r="E129" s="1" t="s">
        <v>2750</v>
      </c>
      <c r="F129" s="1" t="s">
        <v>2751</v>
      </c>
      <c r="G129" s="1" t="s">
        <v>2752</v>
      </c>
      <c r="H129" s="1" t="s">
        <v>1251</v>
      </c>
      <c r="I129" s="1" t="s">
        <v>88</v>
      </c>
      <c r="J129" s="1" t="s">
        <v>2753</v>
      </c>
      <c r="K129" s="1">
        <v>106</v>
      </c>
    </row>
    <row r="130" spans="1:12" x14ac:dyDescent="0.2">
      <c r="A130" s="1" t="s">
        <v>581</v>
      </c>
      <c r="B130" s="1">
        <v>7</v>
      </c>
      <c r="C130" s="1" t="s">
        <v>2132</v>
      </c>
      <c r="D130" s="1" t="s">
        <v>631</v>
      </c>
      <c r="E130" s="1" t="s">
        <v>2754</v>
      </c>
      <c r="F130" s="1" t="s">
        <v>1215</v>
      </c>
      <c r="G130" s="1" t="s">
        <v>2755</v>
      </c>
      <c r="H130" s="1" t="s">
        <v>631</v>
      </c>
      <c r="I130" s="1" t="s">
        <v>94</v>
      </c>
      <c r="J130" s="1" t="s">
        <v>2754</v>
      </c>
      <c r="K130" s="1">
        <v>196</v>
      </c>
    </row>
    <row r="131" spans="1:12" ht="57" x14ac:dyDescent="0.2">
      <c r="A131" s="1" t="s">
        <v>581</v>
      </c>
      <c r="B131" s="1">
        <v>7</v>
      </c>
      <c r="C131" s="1" t="s">
        <v>1423</v>
      </c>
      <c r="D131" s="1" t="s">
        <v>3067</v>
      </c>
      <c r="E131" s="1" t="s">
        <v>3106</v>
      </c>
      <c r="F131" s="1" t="s">
        <v>2627</v>
      </c>
      <c r="G131" s="1" t="s">
        <v>3094</v>
      </c>
      <c r="H131" s="1" t="s">
        <v>3067</v>
      </c>
      <c r="I131" s="1" t="s">
        <v>3068</v>
      </c>
      <c r="J131" s="1" t="s">
        <v>3106</v>
      </c>
      <c r="K131" s="1">
        <v>143</v>
      </c>
      <c r="L131" s="1">
        <v>1</v>
      </c>
    </row>
    <row r="132" spans="1:12" ht="28.5" x14ac:dyDescent="0.2">
      <c r="A132" s="1" t="s">
        <v>581</v>
      </c>
      <c r="B132" s="1">
        <v>7</v>
      </c>
      <c r="C132" s="1" t="s">
        <v>582</v>
      </c>
      <c r="D132" s="1" t="s">
        <v>2756</v>
      </c>
      <c r="E132" s="1" t="s">
        <v>2757</v>
      </c>
      <c r="F132" s="1" t="s">
        <v>2758</v>
      </c>
      <c r="G132" s="1" t="s">
        <v>2745</v>
      </c>
      <c r="H132" s="1" t="s">
        <v>1946</v>
      </c>
      <c r="I132" s="1" t="s">
        <v>88</v>
      </c>
      <c r="J132" s="1" t="s">
        <v>2759</v>
      </c>
      <c r="K132" s="1">
        <v>201</v>
      </c>
    </row>
    <row r="133" spans="1:12" ht="42.75" x14ac:dyDescent="0.2">
      <c r="A133" s="1" t="s">
        <v>581</v>
      </c>
      <c r="B133" s="1">
        <v>7</v>
      </c>
      <c r="C133" s="1" t="s">
        <v>589</v>
      </c>
      <c r="D133" s="1" t="s">
        <v>2240</v>
      </c>
      <c r="E133" s="53" t="s">
        <v>3163</v>
      </c>
      <c r="F133" s="1" t="s">
        <v>1333</v>
      </c>
      <c r="G133" s="1" t="s">
        <v>3158</v>
      </c>
      <c r="H133" s="1" t="s">
        <v>3152</v>
      </c>
      <c r="I133" s="1" t="s">
        <v>94</v>
      </c>
      <c r="J133" s="1" t="s">
        <v>3159</v>
      </c>
      <c r="K133" s="1">
        <v>244</v>
      </c>
    </row>
    <row r="134" spans="1:12" ht="28.5" x14ac:dyDescent="0.2">
      <c r="A134" s="1" t="s">
        <v>581</v>
      </c>
      <c r="B134" s="1">
        <v>8</v>
      </c>
      <c r="C134" s="1" t="s">
        <v>594</v>
      </c>
      <c r="D134" s="1" t="str">
        <f>VLOOKUP(C134,[1]泡!$C:$D,2,0)</f>
        <v>B213</v>
      </c>
      <c r="E134" s="1" t="str">
        <f>VLOOKUP(C134,[1]泡!$C:$E,3,0)</f>
        <v>B：右手1开始5连点
E：左手2单点</v>
      </c>
      <c r="F134" s="1" t="str">
        <f>VLOOKUP(C134,[1]泡!$C:$F,4,0)</f>
        <v>B290</v>
      </c>
      <c r="G134" s="1" t="str">
        <f>VLOOKUP(C134,[1]泡!$C:$G,5,0)</f>
        <v>B：左下3蓝条
E：右手4蓝条</v>
      </c>
      <c r="H134" s="1" t="str">
        <f>VLOOKUP(C134,[1]泡!$C:$H,6,0)</f>
        <v>B290</v>
      </c>
      <c r="I134" s="1" t="str">
        <f>VLOOKUP(C134,[1]泡!$C:$I,7,0)</f>
        <v>极限</v>
      </c>
      <c r="J134" s="1" t="str">
        <f>VLOOKUP(C134,[1]泡!$C:$J,8,0)</f>
        <v>B：左下3蓝条
E：右手4蓝条</v>
      </c>
      <c r="K134" s="1">
        <f>VLOOKUP(C134,[1]泡!$C:$K,9,0)</f>
        <v>195</v>
      </c>
    </row>
    <row r="135" spans="1:12" ht="42.75" x14ac:dyDescent="0.2">
      <c r="A135" s="1" t="s">
        <v>581</v>
      </c>
      <c r="B135" s="1">
        <v>9</v>
      </c>
      <c r="C135" s="1" t="s">
        <v>603</v>
      </c>
      <c r="D135" s="1" t="s">
        <v>3071</v>
      </c>
      <c r="E135" s="1" t="s">
        <v>3083</v>
      </c>
      <c r="F135" s="1" t="s">
        <v>1494</v>
      </c>
      <c r="G135" s="1" t="s">
        <v>3095</v>
      </c>
      <c r="H135" s="1" t="s">
        <v>3071</v>
      </c>
      <c r="I135" s="1" t="s">
        <v>3068</v>
      </c>
      <c r="J135" s="1" t="s">
        <v>3083</v>
      </c>
      <c r="K135" s="1">
        <v>273</v>
      </c>
      <c r="L135" s="1">
        <v>1</v>
      </c>
    </row>
    <row r="136" spans="1:12" ht="42.75" x14ac:dyDescent="0.2">
      <c r="A136" s="1" t="s">
        <v>581</v>
      </c>
      <c r="B136" s="1">
        <v>9</v>
      </c>
      <c r="C136" s="1" t="s">
        <v>1440</v>
      </c>
      <c r="D136" s="1" t="s">
        <v>2760</v>
      </c>
      <c r="E136" s="1" t="s">
        <v>2761</v>
      </c>
      <c r="F136" s="1" t="s">
        <v>290</v>
      </c>
      <c r="G136" s="1" t="s">
        <v>2762</v>
      </c>
      <c r="H136" s="1" t="s">
        <v>290</v>
      </c>
      <c r="I136" s="1" t="s">
        <v>94</v>
      </c>
      <c r="J136" s="1" t="s">
        <v>2762</v>
      </c>
      <c r="K136" s="1">
        <v>449</v>
      </c>
    </row>
    <row r="137" spans="1:12" ht="57" x14ac:dyDescent="0.2">
      <c r="A137" s="1" t="s">
        <v>581</v>
      </c>
      <c r="B137" s="1">
        <v>10</v>
      </c>
      <c r="C137" s="1" t="s">
        <v>1446</v>
      </c>
      <c r="D137" s="1" t="s">
        <v>683</v>
      </c>
      <c r="E137" s="1" t="s">
        <v>2763</v>
      </c>
      <c r="F137" s="1" t="s">
        <v>2764</v>
      </c>
      <c r="G137" s="1" t="s">
        <v>2765</v>
      </c>
      <c r="H137" s="1" t="s">
        <v>683</v>
      </c>
      <c r="I137" s="1" t="s">
        <v>94</v>
      </c>
      <c r="J137" s="1" t="s">
        <v>2763</v>
      </c>
      <c r="K137" s="1">
        <v>355</v>
      </c>
    </row>
    <row r="138" spans="1:12" ht="57" x14ac:dyDescent="0.2">
      <c r="A138" s="1" t="s">
        <v>581</v>
      </c>
      <c r="B138" s="1">
        <v>10</v>
      </c>
      <c r="C138" s="1" t="s">
        <v>608</v>
      </c>
      <c r="D138" s="1" t="s">
        <v>1531</v>
      </c>
      <c r="E138" s="1" t="s">
        <v>3129</v>
      </c>
      <c r="F138" s="1" t="s">
        <v>991</v>
      </c>
      <c r="G138" s="1" t="s">
        <v>3096</v>
      </c>
      <c r="H138" s="1" t="s">
        <v>991</v>
      </c>
      <c r="I138" s="1" t="s">
        <v>94</v>
      </c>
      <c r="J138" s="1" t="s">
        <v>3107</v>
      </c>
      <c r="K138" s="1">
        <v>392</v>
      </c>
      <c r="L138" s="1">
        <v>1</v>
      </c>
    </row>
    <row r="139" spans="1:12" ht="57" x14ac:dyDescent="0.2">
      <c r="A139" s="1" t="s">
        <v>581</v>
      </c>
      <c r="B139" s="1">
        <v>10</v>
      </c>
      <c r="C139" s="1" t="s">
        <v>613</v>
      </c>
      <c r="D139" s="1" t="s">
        <v>560</v>
      </c>
      <c r="E139" s="1" t="s">
        <v>2766</v>
      </c>
      <c r="F139" s="1" t="s">
        <v>2767</v>
      </c>
      <c r="G139" s="1" t="s">
        <v>2768</v>
      </c>
      <c r="H139" s="1" t="s">
        <v>560</v>
      </c>
      <c r="I139" s="1" t="s">
        <v>94</v>
      </c>
      <c r="J139" s="1" t="s">
        <v>2766</v>
      </c>
      <c r="K139" s="1">
        <v>457</v>
      </c>
    </row>
    <row r="140" spans="1:12" ht="42.75" x14ac:dyDescent="0.2">
      <c r="A140" s="1" t="s">
        <v>618</v>
      </c>
      <c r="B140" s="1">
        <v>6</v>
      </c>
      <c r="C140" s="1" t="s">
        <v>2769</v>
      </c>
      <c r="D140" s="1" t="s">
        <v>868</v>
      </c>
      <c r="E140" s="1" t="s">
        <v>3141</v>
      </c>
      <c r="F140" s="1" t="s">
        <v>2492</v>
      </c>
      <c r="G140" s="1" t="s">
        <v>3142</v>
      </c>
      <c r="H140" s="1" t="s">
        <v>868</v>
      </c>
      <c r="I140" s="1" t="s">
        <v>3068</v>
      </c>
      <c r="J140" s="1" t="s">
        <v>3141</v>
      </c>
      <c r="K140" s="1">
        <v>181</v>
      </c>
      <c r="L140" s="1">
        <v>1</v>
      </c>
    </row>
    <row r="141" spans="1:12" x14ac:dyDescent="0.2">
      <c r="A141" s="1" t="s">
        <v>618</v>
      </c>
      <c r="B141" s="1">
        <v>6</v>
      </c>
      <c r="C141" s="1" t="s">
        <v>2770</v>
      </c>
      <c r="D141" s="1" t="s">
        <v>1333</v>
      </c>
      <c r="E141" s="1" t="s">
        <v>2771</v>
      </c>
      <c r="F141" s="1" t="s">
        <v>2772</v>
      </c>
      <c r="G141" s="1" t="s">
        <v>2577</v>
      </c>
      <c r="H141" s="1" t="s">
        <v>2772</v>
      </c>
      <c r="I141" s="1" t="s">
        <v>94</v>
      </c>
      <c r="J141" s="1" t="s">
        <v>2577</v>
      </c>
      <c r="K141" s="1">
        <v>202</v>
      </c>
    </row>
    <row r="142" spans="1:12" x14ac:dyDescent="0.2">
      <c r="A142" s="1" t="s">
        <v>618</v>
      </c>
      <c r="B142" s="1">
        <v>6</v>
      </c>
      <c r="C142" s="1" t="s">
        <v>2170</v>
      </c>
      <c r="D142" s="1" t="s">
        <v>1750</v>
      </c>
      <c r="E142" s="1" t="s">
        <v>2773</v>
      </c>
      <c r="F142" s="1" t="s">
        <v>1327</v>
      </c>
      <c r="G142" s="1" t="s">
        <v>2774</v>
      </c>
      <c r="H142" s="1" t="s">
        <v>1750</v>
      </c>
      <c r="I142" s="1" t="s">
        <v>88</v>
      </c>
      <c r="J142" s="1" t="s">
        <v>2773</v>
      </c>
      <c r="K142" s="1">
        <v>161</v>
      </c>
    </row>
    <row r="143" spans="1:12" x14ac:dyDescent="0.2">
      <c r="A143" s="1" t="s">
        <v>618</v>
      </c>
      <c r="B143" s="1">
        <v>7</v>
      </c>
      <c r="C143" s="1" t="s">
        <v>619</v>
      </c>
      <c r="D143" s="1" t="s">
        <v>2249</v>
      </c>
      <c r="E143" s="1" t="s">
        <v>2775</v>
      </c>
      <c r="F143" s="1" t="s">
        <v>1104</v>
      </c>
      <c r="G143" s="1" t="s">
        <v>2776</v>
      </c>
      <c r="H143" s="1" t="s">
        <v>2483</v>
      </c>
      <c r="I143" s="1" t="s">
        <v>88</v>
      </c>
      <c r="J143" s="1" t="s">
        <v>2777</v>
      </c>
      <c r="K143" s="1">
        <v>205</v>
      </c>
    </row>
    <row r="144" spans="1:12" x14ac:dyDescent="0.2">
      <c r="A144" s="1" t="s">
        <v>618</v>
      </c>
      <c r="B144" s="1">
        <v>7</v>
      </c>
      <c r="C144" s="1" t="s">
        <v>624</v>
      </c>
      <c r="D144" s="1" t="s">
        <v>2778</v>
      </c>
      <c r="E144" s="1" t="s">
        <v>2779</v>
      </c>
      <c r="F144" s="1" t="s">
        <v>622</v>
      </c>
      <c r="G144" s="1" t="s">
        <v>2601</v>
      </c>
      <c r="H144" s="1" t="s">
        <v>622</v>
      </c>
      <c r="I144" s="1" t="s">
        <v>94</v>
      </c>
      <c r="J144" s="1" t="s">
        <v>2601</v>
      </c>
      <c r="K144" s="1">
        <v>179</v>
      </c>
    </row>
    <row r="145" spans="1:12" ht="57" x14ac:dyDescent="0.2">
      <c r="A145" s="1" t="s">
        <v>618</v>
      </c>
      <c r="B145" s="1">
        <v>8</v>
      </c>
      <c r="C145" s="1" t="s">
        <v>630</v>
      </c>
      <c r="D145" s="1" t="s">
        <v>2780</v>
      </c>
      <c r="E145" s="1" t="s">
        <v>2781</v>
      </c>
      <c r="F145" s="1" t="s">
        <v>2111</v>
      </c>
      <c r="G145" s="1" t="s">
        <v>2782</v>
      </c>
      <c r="H145" s="1" t="s">
        <v>2780</v>
      </c>
      <c r="I145" s="1" t="s">
        <v>94</v>
      </c>
      <c r="J145" s="1" t="s">
        <v>2781</v>
      </c>
      <c r="K145" s="1">
        <v>220</v>
      </c>
    </row>
    <row r="146" spans="1:12" ht="42.75" x14ac:dyDescent="0.2">
      <c r="A146" s="1" t="s">
        <v>618</v>
      </c>
      <c r="B146" s="1">
        <v>8</v>
      </c>
      <c r="C146" s="1" t="s">
        <v>634</v>
      </c>
      <c r="D146" s="1" t="s">
        <v>1652</v>
      </c>
      <c r="E146" s="1" t="s">
        <v>2783</v>
      </c>
      <c r="F146" s="1" t="s">
        <v>2784</v>
      </c>
      <c r="G146" s="1" t="s">
        <v>2785</v>
      </c>
      <c r="H146" s="1" t="s">
        <v>2784</v>
      </c>
      <c r="I146" s="1" t="s">
        <v>94</v>
      </c>
      <c r="J146" s="1" t="s">
        <v>2785</v>
      </c>
      <c r="K146" s="1">
        <v>210</v>
      </c>
    </row>
    <row r="147" spans="1:12" ht="42.75" x14ac:dyDescent="0.2">
      <c r="A147" s="1" t="s">
        <v>618</v>
      </c>
      <c r="B147" s="1">
        <v>9</v>
      </c>
      <c r="C147" s="1" t="s">
        <v>643</v>
      </c>
      <c r="D147" s="1" t="s">
        <v>770</v>
      </c>
      <c r="E147" s="1" t="s">
        <v>3143</v>
      </c>
      <c r="F147" s="1" t="s">
        <v>3072</v>
      </c>
      <c r="G147" s="1" t="s">
        <v>3144</v>
      </c>
      <c r="H147" s="1" t="s">
        <v>770</v>
      </c>
      <c r="I147" s="1" t="s">
        <v>3069</v>
      </c>
      <c r="J147" s="1" t="s">
        <v>3143</v>
      </c>
      <c r="K147" s="1">
        <v>242</v>
      </c>
      <c r="L147" s="1">
        <v>1</v>
      </c>
    </row>
    <row r="148" spans="1:12" ht="28.5" x14ac:dyDescent="0.2">
      <c r="A148" s="1" t="s">
        <v>618</v>
      </c>
      <c r="B148" s="1">
        <v>10</v>
      </c>
      <c r="C148" s="1" t="s">
        <v>638</v>
      </c>
      <c r="D148" s="1" t="s">
        <v>2786</v>
      </c>
      <c r="E148" s="1" t="s">
        <v>2787</v>
      </c>
      <c r="F148" s="1" t="s">
        <v>560</v>
      </c>
      <c r="G148" s="1" t="s">
        <v>2788</v>
      </c>
      <c r="H148" s="1" t="s">
        <v>560</v>
      </c>
      <c r="I148" s="1" t="s">
        <v>94</v>
      </c>
      <c r="J148" s="1" t="s">
        <v>3073</v>
      </c>
      <c r="K148" s="1">
        <v>419</v>
      </c>
    </row>
    <row r="149" spans="1:12" ht="42.75" x14ac:dyDescent="0.2">
      <c r="A149" s="1" t="s">
        <v>506</v>
      </c>
      <c r="B149" s="1">
        <v>6</v>
      </c>
      <c r="C149" s="1" t="s">
        <v>660</v>
      </c>
      <c r="D149" s="1" t="s">
        <v>2611</v>
      </c>
      <c r="E149" s="1" t="s">
        <v>2789</v>
      </c>
      <c r="F149" s="1" t="s">
        <v>2790</v>
      </c>
      <c r="G149" s="1" t="s">
        <v>2791</v>
      </c>
      <c r="H149" s="1" t="s">
        <v>2611</v>
      </c>
      <c r="I149" s="1" t="s">
        <v>88</v>
      </c>
      <c r="J149" s="1" t="s">
        <v>2789</v>
      </c>
      <c r="K149" s="1">
        <v>167</v>
      </c>
    </row>
    <row r="150" spans="1:12" ht="57" x14ac:dyDescent="0.2">
      <c r="A150" s="1" t="s">
        <v>506</v>
      </c>
      <c r="B150" s="1">
        <v>6</v>
      </c>
      <c r="C150" s="1" t="s">
        <v>666</v>
      </c>
      <c r="D150" s="1" t="s">
        <v>2565</v>
      </c>
      <c r="E150" s="1" t="s">
        <v>2792</v>
      </c>
      <c r="F150" s="1" t="s">
        <v>2793</v>
      </c>
      <c r="G150" s="1" t="s">
        <v>2794</v>
      </c>
      <c r="H150" s="1" t="s">
        <v>2565</v>
      </c>
      <c r="I150" s="1" t="s">
        <v>88</v>
      </c>
      <c r="J150" s="1" t="s">
        <v>2792</v>
      </c>
      <c r="K150" s="1">
        <v>138</v>
      </c>
    </row>
    <row r="151" spans="1:12" ht="57" x14ac:dyDescent="0.2">
      <c r="A151" s="1" t="s">
        <v>506</v>
      </c>
      <c r="B151" s="1">
        <v>6</v>
      </c>
      <c r="C151" s="1" t="s">
        <v>2795</v>
      </c>
      <c r="D151" s="1" t="s">
        <v>2796</v>
      </c>
      <c r="E151" s="1" t="s">
        <v>3084</v>
      </c>
      <c r="F151" s="1" t="s">
        <v>1476</v>
      </c>
      <c r="G151" s="1" t="s">
        <v>3097</v>
      </c>
      <c r="H151" s="1" t="s">
        <v>1476</v>
      </c>
      <c r="I151" s="1" t="s">
        <v>88</v>
      </c>
      <c r="J151" s="1" t="s">
        <v>3108</v>
      </c>
      <c r="K151" s="1">
        <v>219</v>
      </c>
      <c r="L151" s="1">
        <v>1</v>
      </c>
    </row>
    <row r="152" spans="1:12" x14ac:dyDescent="0.2">
      <c r="A152" s="1" t="s">
        <v>506</v>
      </c>
      <c r="B152" s="1">
        <v>6</v>
      </c>
      <c r="C152" s="1" t="s">
        <v>2200</v>
      </c>
      <c r="D152" s="1" t="s">
        <v>2797</v>
      </c>
      <c r="E152" s="1" t="s">
        <v>2798</v>
      </c>
      <c r="F152" s="1" t="s">
        <v>1714</v>
      </c>
      <c r="G152" s="1" t="s">
        <v>2799</v>
      </c>
      <c r="H152" s="1" t="s">
        <v>2800</v>
      </c>
      <c r="I152" s="1" t="s">
        <v>88</v>
      </c>
      <c r="J152" s="1" t="s">
        <v>2801</v>
      </c>
      <c r="K152" s="1">
        <v>224</v>
      </c>
    </row>
    <row r="153" spans="1:12" ht="28.5" x14ac:dyDescent="0.2">
      <c r="A153" s="1" t="s">
        <v>506</v>
      </c>
      <c r="B153" s="1">
        <v>7</v>
      </c>
      <c r="C153" s="1" t="s">
        <v>649</v>
      </c>
      <c r="D153" s="1" t="s">
        <v>233</v>
      </c>
      <c r="E153" s="1" t="s">
        <v>2802</v>
      </c>
      <c r="F153" s="1" t="s">
        <v>1492</v>
      </c>
      <c r="G153" s="1" t="s">
        <v>2803</v>
      </c>
      <c r="H153" s="1" t="s">
        <v>2804</v>
      </c>
      <c r="I153" s="1" t="s">
        <v>94</v>
      </c>
      <c r="J153" s="1" t="s">
        <v>2805</v>
      </c>
      <c r="K153" s="1">
        <v>172</v>
      </c>
    </row>
    <row r="154" spans="1:12" x14ac:dyDescent="0.2">
      <c r="A154" s="1" t="s">
        <v>506</v>
      </c>
      <c r="B154" s="1">
        <v>7</v>
      </c>
      <c r="C154" s="1" t="s">
        <v>2197</v>
      </c>
      <c r="D154" s="1" t="s">
        <v>1766</v>
      </c>
      <c r="E154" s="1" t="s">
        <v>2806</v>
      </c>
      <c r="F154" s="1" t="s">
        <v>1264</v>
      </c>
      <c r="G154" s="1" t="s">
        <v>2807</v>
      </c>
      <c r="H154" s="1" t="s">
        <v>1264</v>
      </c>
      <c r="I154" s="1" t="s">
        <v>88</v>
      </c>
      <c r="J154" s="1" t="s">
        <v>2807</v>
      </c>
      <c r="K154" s="1">
        <v>211</v>
      </c>
    </row>
    <row r="155" spans="1:12" ht="28.5" x14ac:dyDescent="0.2">
      <c r="A155" s="1" t="s">
        <v>506</v>
      </c>
      <c r="B155" s="1">
        <v>7</v>
      </c>
      <c r="C155" s="1" t="s">
        <v>655</v>
      </c>
      <c r="D155" s="1" t="str">
        <f>VLOOKUP(C155,[1]泡!$C:$D,2,0)</f>
        <v>A173</v>
      </c>
      <c r="E155" s="1" t="str">
        <f>VLOOKUP(C155,[1]泡!$C:$E,3,0)</f>
        <v>A：左手7蓝条（存）
E：左手单点</v>
      </c>
      <c r="F155" s="1" t="str">
        <f>VLOOKUP(C155,[1]泡!$C:$F,4,0)</f>
        <v>B216</v>
      </c>
      <c r="G155" s="1" t="str">
        <f>VLOOKUP(C155,[1]泡!$C:$G,5,0)</f>
        <v>B：右手2开始四连点
E：左手1单点</v>
      </c>
      <c r="H155" s="1" t="str">
        <f>VLOOKUP(C155,[1]泡!$C:$H,6,0)</f>
        <v>B318</v>
      </c>
      <c r="I155" s="1" t="str">
        <f>VLOOKUP(C155,[1]泡!$C:$I,7,0)</f>
        <v>极限</v>
      </c>
      <c r="J155" s="1" t="str">
        <f>VLOOKUP(C155,[1]泡!$C:$J,8,0)</f>
        <v>B：左上7单点
E：左手四连点</v>
      </c>
      <c r="K155" s="1">
        <f>VLOOKUP(C155,[1]泡!$C:$K,9,0)</f>
        <v>180</v>
      </c>
    </row>
    <row r="156" spans="1:12" ht="28.5" x14ac:dyDescent="0.2">
      <c r="A156" s="1" t="s">
        <v>506</v>
      </c>
      <c r="B156" s="1">
        <v>9</v>
      </c>
      <c r="C156" s="1" t="s">
        <v>676</v>
      </c>
      <c r="D156" s="1" t="str">
        <f>VLOOKUP(C156,[1]泡!$C:$D,2,0)</f>
        <v>A205</v>
      </c>
      <c r="E156" s="1" t="str">
        <f>VLOOKUP(C156,[1]泡!$C:$E,3,0)</f>
        <v>A：右下角5号球
E：左8号蓝条吃完</v>
      </c>
      <c r="F156" s="1" t="str">
        <f>VLOOKUP(C156,[1]泡!$C:$F,4,0)</f>
        <v>B452</v>
      </c>
      <c r="G156" s="1" t="str">
        <f>VLOOKUP(C156,[1]泡!$C:$G,5,0)</f>
        <v>B：右下角5号球
E：左8号蓝条吃完</v>
      </c>
      <c r="H156" s="1" t="str">
        <f>VLOOKUP(C156,[1]泡!$C:$H,6,0)</f>
        <v>A205</v>
      </c>
      <c r="I156" s="1" t="str">
        <f>VLOOKUP(C156,[1]泡!$C:$I,7,0)</f>
        <v>极限</v>
      </c>
      <c r="J156" s="1" t="str">
        <f>VLOOKUP(C156,[1]泡!$C:$J,8,0)</f>
        <v>A：右下角5号球
E：左8号蓝条吃完</v>
      </c>
      <c r="K156" s="1">
        <f>VLOOKUP(C156,[1]泡!$C:$K,9,0)</f>
        <v>257</v>
      </c>
    </row>
    <row r="157" spans="1:12" x14ac:dyDescent="0.2">
      <c r="A157" s="1" t="s">
        <v>506</v>
      </c>
      <c r="B157" s="1">
        <v>9</v>
      </c>
      <c r="C157" s="1" t="s">
        <v>672</v>
      </c>
      <c r="D157" s="1" t="s">
        <v>1436</v>
      </c>
      <c r="E157" s="1" t="s">
        <v>2808</v>
      </c>
      <c r="F157" s="1" t="s">
        <v>2809</v>
      </c>
      <c r="G157" s="1" t="s">
        <v>2810</v>
      </c>
      <c r="H157" s="1" t="s">
        <v>2809</v>
      </c>
      <c r="I157" s="1" t="s">
        <v>88</v>
      </c>
      <c r="J157" s="1" t="s">
        <v>2810</v>
      </c>
      <c r="K157" s="1">
        <v>289</v>
      </c>
    </row>
    <row r="158" spans="1:12" x14ac:dyDescent="0.2">
      <c r="A158" s="1" t="s">
        <v>681</v>
      </c>
      <c r="B158" s="1">
        <v>6</v>
      </c>
      <c r="C158" s="1" t="s">
        <v>2811</v>
      </c>
      <c r="D158" s="1" t="s">
        <v>2812</v>
      </c>
      <c r="E158" s="1" t="s">
        <v>2740</v>
      </c>
      <c r="F158" s="1" t="s">
        <v>2704</v>
      </c>
      <c r="G158" s="1" t="s">
        <v>2601</v>
      </c>
      <c r="H158" s="1" t="s">
        <v>2812</v>
      </c>
      <c r="I158" s="1" t="s">
        <v>94</v>
      </c>
      <c r="J158" s="1" t="s">
        <v>2740</v>
      </c>
      <c r="K158" s="1">
        <v>136</v>
      </c>
    </row>
    <row r="159" spans="1:12" ht="42.75" x14ac:dyDescent="0.2">
      <c r="A159" s="1" t="s">
        <v>681</v>
      </c>
      <c r="B159" s="1">
        <v>8</v>
      </c>
      <c r="C159" s="1" t="s">
        <v>682</v>
      </c>
      <c r="D159" s="1" t="s">
        <v>1736</v>
      </c>
      <c r="E159" s="1" t="s">
        <v>3109</v>
      </c>
      <c r="F159" s="1" t="s">
        <v>2790</v>
      </c>
      <c r="G159" s="1" t="s">
        <v>3098</v>
      </c>
      <c r="H159" s="1" t="s">
        <v>1736</v>
      </c>
      <c r="I159" s="1" t="s">
        <v>3068</v>
      </c>
      <c r="J159" s="1" t="s">
        <v>3109</v>
      </c>
      <c r="K159" s="1">
        <v>227</v>
      </c>
      <c r="L159" s="1">
        <v>1</v>
      </c>
    </row>
    <row r="160" spans="1:12" ht="28.5" x14ac:dyDescent="0.2">
      <c r="A160" s="1" t="s">
        <v>681</v>
      </c>
      <c r="B160" s="1">
        <v>9</v>
      </c>
      <c r="C160" s="1" t="s">
        <v>686</v>
      </c>
      <c r="D160" s="1" t="str">
        <f>VLOOKUP(C160,[1]泡!$C:$D,2,0)</f>
        <v>B228</v>
      </c>
      <c r="E160" s="1" t="str">
        <f>VLOOKUP(C160,[1]泡!$C:$E,3,0)</f>
        <v>B：左上2号球
E：左9号球</v>
      </c>
      <c r="F160" s="1" t="str">
        <f>VLOOKUP(C160,[1]泡!$C:$F,4,0)</f>
        <v>B313</v>
      </c>
      <c r="G160" s="1" t="str">
        <f>VLOOKUP(C160,[1]泡!$C:$G,5,0)</f>
        <v>B：右上10号蓝条
E：中间4号球</v>
      </c>
      <c r="H160" s="1" t="str">
        <f>VLOOKUP(C160,[1]泡!$C:$H,6,0)</f>
        <v>B228</v>
      </c>
      <c r="I160" s="1" t="str">
        <f>VLOOKUP(C160,[1]泡!$C:$I,7,0)</f>
        <v>极限</v>
      </c>
      <c r="J160" s="1" t="str">
        <f>VLOOKUP(C160,[1]泡!$C:$J,8,0)</f>
        <v>B：左上2号球
E：左9号球</v>
      </c>
      <c r="K160" s="1">
        <f>VLOOKUP(C160,[1]泡!$C:$K,9,0)</f>
        <v>220</v>
      </c>
    </row>
    <row r="161" spans="1:12" x14ac:dyDescent="0.2">
      <c r="A161" s="1" t="s">
        <v>691</v>
      </c>
      <c r="B161" s="1">
        <v>7</v>
      </c>
      <c r="C161" s="1" t="s">
        <v>2218</v>
      </c>
      <c r="D161" s="1" t="s">
        <v>101</v>
      </c>
      <c r="E161" s="1" t="s">
        <v>2813</v>
      </c>
      <c r="F161" s="1" t="s">
        <v>1513</v>
      </c>
      <c r="G161" s="1" t="s">
        <v>2814</v>
      </c>
      <c r="H161" s="1" t="s">
        <v>1513</v>
      </c>
      <c r="I161" s="1" t="s">
        <v>88</v>
      </c>
      <c r="J161" s="1" t="s">
        <v>2814</v>
      </c>
      <c r="K161" s="1">
        <v>141</v>
      </c>
    </row>
    <row r="162" spans="1:12" ht="28.5" x14ac:dyDescent="0.2">
      <c r="A162" s="1" t="s">
        <v>691</v>
      </c>
      <c r="B162" s="1">
        <v>7</v>
      </c>
      <c r="C162" s="1" t="s">
        <v>692</v>
      </c>
      <c r="D162" s="1" t="str">
        <f>VLOOKUP(C162,[1]泡!$C:$D,2,0)</f>
        <v>B143</v>
      </c>
      <c r="E162" s="1" t="str">
        <f>VLOOKUP(C162,[1]泡!$C:$E,3,0)</f>
        <v>B：左手四连点第二个
E：左下三连点</v>
      </c>
      <c r="F162" s="1" t="str">
        <f>VLOOKUP(C162,[1]泡!$C:$F,4,0)</f>
        <v>B192</v>
      </c>
      <c r="G162" s="1" t="str">
        <f>VLOOKUP(C162,[1]泡!$C:$G,5,0)</f>
        <v>B：右手2开始四连点
E：左手蓝条</v>
      </c>
      <c r="H162" s="1" t="str">
        <f>VLOOKUP(C162,[1]泡!$C:$H,6,0)</f>
        <v>B192</v>
      </c>
      <c r="I162" s="1" t="str">
        <f>VLOOKUP(C162,[1]泡!$C:$I,7,0)</f>
        <v>爆气</v>
      </c>
      <c r="J162" s="1" t="str">
        <f>VLOOKUP(C162,[1]泡!$C:$J,8,0)</f>
        <v>B：右手2开始四连点
E：左手蓝条</v>
      </c>
      <c r="K162" s="1">
        <f>VLOOKUP(C162,[1]泡!$C:$K,9,0)</f>
        <v>96</v>
      </c>
    </row>
    <row r="163" spans="1:12" ht="42.75" x14ac:dyDescent="0.2">
      <c r="A163" s="1" t="s">
        <v>691</v>
      </c>
      <c r="B163" s="1">
        <v>9</v>
      </c>
      <c r="C163" s="1" t="s">
        <v>695</v>
      </c>
      <c r="D163" s="1" t="s">
        <v>590</v>
      </c>
      <c r="E163" s="1" t="s">
        <v>2815</v>
      </c>
      <c r="F163" s="1" t="s">
        <v>2816</v>
      </c>
      <c r="G163" s="1" t="s">
        <v>2817</v>
      </c>
      <c r="H163" s="1" t="s">
        <v>2816</v>
      </c>
      <c r="I163" s="1" t="s">
        <v>94</v>
      </c>
      <c r="J163" s="1" t="s">
        <v>2817</v>
      </c>
      <c r="K163" s="1">
        <v>253</v>
      </c>
    </row>
    <row r="164" spans="1:12" ht="42.75" x14ac:dyDescent="0.2">
      <c r="A164" s="1" t="s">
        <v>691</v>
      </c>
      <c r="B164" s="1">
        <v>10</v>
      </c>
      <c r="C164" s="1" t="s">
        <v>699</v>
      </c>
      <c r="D164" s="1" t="s">
        <v>1243</v>
      </c>
      <c r="E164" s="1" t="s">
        <v>3154</v>
      </c>
      <c r="F164" s="1" t="s">
        <v>375</v>
      </c>
      <c r="G164" s="1" t="s">
        <v>3155</v>
      </c>
      <c r="H164" s="1" t="s">
        <v>375</v>
      </c>
      <c r="I164" s="1" t="s">
        <v>94</v>
      </c>
      <c r="J164" s="1" t="s">
        <v>3155</v>
      </c>
      <c r="K164" s="1">
        <v>378</v>
      </c>
    </row>
    <row r="165" spans="1:12" ht="28.5" x14ac:dyDescent="0.2">
      <c r="A165" s="1" t="s">
        <v>703</v>
      </c>
      <c r="B165" s="1">
        <v>7</v>
      </c>
      <c r="C165" s="1" t="s">
        <v>2818</v>
      </c>
      <c r="D165" s="53" t="s">
        <v>3165</v>
      </c>
      <c r="E165" s="53" t="s">
        <v>3166</v>
      </c>
      <c r="F165" s="53" t="s">
        <v>3168</v>
      </c>
      <c r="G165" s="53" t="s">
        <v>3169</v>
      </c>
      <c r="H165" s="53" t="s">
        <v>3165</v>
      </c>
      <c r="I165" s="53" t="s">
        <v>3068</v>
      </c>
      <c r="J165" s="53" t="s">
        <v>3166</v>
      </c>
      <c r="K165" s="1">
        <v>146</v>
      </c>
    </row>
    <row r="166" spans="1:12" x14ac:dyDescent="0.2">
      <c r="A166" s="1" t="s">
        <v>703</v>
      </c>
      <c r="B166" s="1">
        <v>8</v>
      </c>
      <c r="C166" s="1" t="s">
        <v>708</v>
      </c>
      <c r="D166" s="1" t="s">
        <v>620</v>
      </c>
      <c r="E166" s="1" t="s">
        <v>2819</v>
      </c>
      <c r="F166" s="1" t="s">
        <v>2820</v>
      </c>
      <c r="G166" s="1" t="s">
        <v>2821</v>
      </c>
      <c r="H166" s="1" t="s">
        <v>620</v>
      </c>
      <c r="I166" s="1" t="s">
        <v>88</v>
      </c>
      <c r="J166" s="1" t="s">
        <v>2819</v>
      </c>
      <c r="K166" s="1">
        <v>134</v>
      </c>
    </row>
    <row r="167" spans="1:12" x14ac:dyDescent="0.2">
      <c r="A167" s="1" t="s">
        <v>703</v>
      </c>
      <c r="B167" s="1">
        <v>8</v>
      </c>
      <c r="C167" s="1" t="s">
        <v>1510</v>
      </c>
      <c r="D167" s="1" t="s">
        <v>2822</v>
      </c>
      <c r="E167" s="1" t="s">
        <v>2823</v>
      </c>
      <c r="F167" s="1" t="s">
        <v>2824</v>
      </c>
      <c r="G167" s="1" t="s">
        <v>2737</v>
      </c>
      <c r="H167" s="1" t="s">
        <v>2824</v>
      </c>
      <c r="I167" s="1" t="s">
        <v>88</v>
      </c>
      <c r="J167" s="1" t="s">
        <v>2737</v>
      </c>
      <c r="K167" s="1">
        <v>130</v>
      </c>
    </row>
    <row r="168" spans="1:12" ht="57" x14ac:dyDescent="0.2">
      <c r="A168" s="1" t="s">
        <v>703</v>
      </c>
      <c r="B168" s="1">
        <v>9</v>
      </c>
      <c r="C168" s="1" t="s">
        <v>703</v>
      </c>
      <c r="D168" s="1" t="s">
        <v>2483</v>
      </c>
      <c r="E168" s="1" t="s">
        <v>2825</v>
      </c>
      <c r="F168" s="1" t="s">
        <v>2721</v>
      </c>
      <c r="G168" s="1" t="s">
        <v>2826</v>
      </c>
      <c r="H168" s="1" t="s">
        <v>2483</v>
      </c>
      <c r="I168" s="1" t="s">
        <v>94</v>
      </c>
      <c r="J168" s="1" t="s">
        <v>2825</v>
      </c>
      <c r="K168" s="1">
        <v>328</v>
      </c>
    </row>
    <row r="169" spans="1:12" ht="42.75" x14ac:dyDescent="0.2">
      <c r="A169" s="1" t="s">
        <v>703</v>
      </c>
      <c r="B169" s="1">
        <v>10</v>
      </c>
      <c r="C169" s="1" t="s">
        <v>713</v>
      </c>
      <c r="D169" s="1" t="s">
        <v>1108</v>
      </c>
      <c r="E169" s="1" t="s">
        <v>3116</v>
      </c>
      <c r="F169" s="1" t="s">
        <v>2672</v>
      </c>
      <c r="G169" s="1" t="s">
        <v>3099</v>
      </c>
      <c r="H169" s="1" t="s">
        <v>2672</v>
      </c>
      <c r="I169" s="1" t="s">
        <v>94</v>
      </c>
      <c r="J169" s="1" t="s">
        <v>3110</v>
      </c>
      <c r="K169" s="1">
        <v>329</v>
      </c>
      <c r="L169" s="1">
        <v>1</v>
      </c>
    </row>
    <row r="170" spans="1:12" ht="57" x14ac:dyDescent="0.2">
      <c r="A170" s="1" t="s">
        <v>722</v>
      </c>
      <c r="B170" s="1">
        <v>6</v>
      </c>
      <c r="C170" s="1" t="s">
        <v>723</v>
      </c>
      <c r="D170" s="1" t="s">
        <v>2827</v>
      </c>
      <c r="E170" s="1" t="s">
        <v>2828</v>
      </c>
      <c r="F170" s="1" t="s">
        <v>1327</v>
      </c>
      <c r="G170" s="1" t="s">
        <v>2829</v>
      </c>
      <c r="H170" s="1" t="s">
        <v>1327</v>
      </c>
      <c r="I170" s="1" t="s">
        <v>219</v>
      </c>
      <c r="J170" s="1" t="s">
        <v>2829</v>
      </c>
      <c r="K170" s="1">
        <v>241</v>
      </c>
    </row>
    <row r="171" spans="1:12" ht="57" x14ac:dyDescent="0.2">
      <c r="A171" s="1" t="s">
        <v>722</v>
      </c>
      <c r="B171" s="1">
        <v>6</v>
      </c>
      <c r="C171" s="1" t="s">
        <v>2830</v>
      </c>
      <c r="D171" s="1" t="s">
        <v>2831</v>
      </c>
      <c r="E171" s="1" t="s">
        <v>2832</v>
      </c>
      <c r="F171" s="1" t="s">
        <v>2833</v>
      </c>
      <c r="G171" s="1" t="s">
        <v>2834</v>
      </c>
      <c r="H171" s="1" t="s">
        <v>2831</v>
      </c>
      <c r="I171" s="1" t="s">
        <v>88</v>
      </c>
      <c r="J171" s="1" t="s">
        <v>2832</v>
      </c>
      <c r="K171" s="1">
        <v>136</v>
      </c>
    </row>
    <row r="172" spans="1:12" x14ac:dyDescent="0.2">
      <c r="A172" s="1" t="s">
        <v>722</v>
      </c>
      <c r="B172" s="1">
        <v>7</v>
      </c>
      <c r="C172" s="1" t="s">
        <v>2239</v>
      </c>
      <c r="D172" s="1" t="s">
        <v>2835</v>
      </c>
      <c r="E172" s="1" t="s">
        <v>2836</v>
      </c>
      <c r="F172" s="1" t="s">
        <v>2469</v>
      </c>
      <c r="G172" s="1" t="s">
        <v>2837</v>
      </c>
      <c r="H172" s="1" t="s">
        <v>2835</v>
      </c>
      <c r="I172" s="1" t="s">
        <v>88</v>
      </c>
      <c r="J172" s="1" t="s">
        <v>2836</v>
      </c>
      <c r="K172" s="1">
        <v>249</v>
      </c>
    </row>
    <row r="173" spans="1:12" ht="42.75" x14ac:dyDescent="0.2">
      <c r="A173" s="1" t="s">
        <v>722</v>
      </c>
      <c r="B173" s="1">
        <v>7</v>
      </c>
      <c r="C173" s="1" t="s">
        <v>727</v>
      </c>
      <c r="D173" s="1" t="s">
        <v>762</v>
      </c>
      <c r="E173" s="1" t="s">
        <v>2838</v>
      </c>
      <c r="F173" s="1" t="s">
        <v>2700</v>
      </c>
      <c r="G173" s="1" t="s">
        <v>2839</v>
      </c>
      <c r="H173" s="1" t="s">
        <v>2700</v>
      </c>
      <c r="I173" s="1" t="s">
        <v>94</v>
      </c>
      <c r="J173" s="1" t="s">
        <v>2839</v>
      </c>
      <c r="K173" s="1">
        <v>199</v>
      </c>
    </row>
    <row r="174" spans="1:12" ht="28.5" x14ac:dyDescent="0.2">
      <c r="A174" s="1" t="s">
        <v>722</v>
      </c>
      <c r="B174" s="1">
        <v>8</v>
      </c>
      <c r="C174" s="1" t="s">
        <v>731</v>
      </c>
      <c r="D174" s="1" t="s">
        <v>2840</v>
      </c>
      <c r="E174" s="1" t="s">
        <v>2841</v>
      </c>
      <c r="F174" s="1" t="s">
        <v>336</v>
      </c>
      <c r="G174" s="1" t="s">
        <v>2842</v>
      </c>
      <c r="H174" s="1" t="s">
        <v>336</v>
      </c>
      <c r="I174" s="1" t="s">
        <v>88</v>
      </c>
      <c r="J174" s="1" t="s">
        <v>2842</v>
      </c>
      <c r="K174" s="1">
        <v>257</v>
      </c>
    </row>
    <row r="175" spans="1:12" ht="28.5" x14ac:dyDescent="0.2">
      <c r="A175" s="1" t="s">
        <v>722</v>
      </c>
      <c r="B175" s="1">
        <v>9</v>
      </c>
      <c r="C175" s="1" t="s">
        <v>738</v>
      </c>
      <c r="D175" s="1" t="s">
        <v>2843</v>
      </c>
      <c r="E175" s="1" t="s">
        <v>2844</v>
      </c>
      <c r="F175" s="1" t="s">
        <v>2833</v>
      </c>
      <c r="G175" s="1" t="s">
        <v>2845</v>
      </c>
      <c r="H175" s="1" t="s">
        <v>2833</v>
      </c>
      <c r="I175" s="1" t="s">
        <v>94</v>
      </c>
      <c r="J175" s="1" t="s">
        <v>2845</v>
      </c>
      <c r="K175" s="1">
        <v>192</v>
      </c>
    </row>
    <row r="176" spans="1:12" ht="28.5" x14ac:dyDescent="0.2">
      <c r="A176" s="1" t="s">
        <v>722</v>
      </c>
      <c r="B176" s="1">
        <v>9</v>
      </c>
      <c r="C176" s="1" t="s">
        <v>2846</v>
      </c>
      <c r="D176" s="1" t="str">
        <f>VLOOKUP(C176,[1]泡!$C:$D,2,0)</f>
        <v>A111</v>
      </c>
      <c r="E176" s="1" t="str">
        <f>VLOOKUP(C176,[1]泡!$C:$E,3,0)</f>
        <v>A：右手5蓝条
E：左手单点</v>
      </c>
      <c r="F176" s="1" t="str">
        <f>VLOOKUP(C176,[1]泡!$C:$F,4,0)</f>
        <v>B356</v>
      </c>
      <c r="G176" s="1" t="str">
        <f>VLOOKUP(C176,[1]泡!$C:$G,5,0)</f>
        <v>B：右手5蓝条
E：左手单点</v>
      </c>
      <c r="H176" s="1" t="str">
        <f>VLOOKUP(C176,[1]泡!$C:$H,6,0)</f>
        <v>B356</v>
      </c>
      <c r="I176" s="1" t="str">
        <f>VLOOKUP(C176,[1]泡!$C:$I,7,0)</f>
        <v>极限</v>
      </c>
      <c r="J176" s="1" t="str">
        <f>VLOOKUP(C176,[1]泡!$C:$J,8,0)</f>
        <v>B：右手5蓝条
E：左手单点</v>
      </c>
      <c r="K176" s="1">
        <f>VLOOKUP(C176,[1]泡!$C:$K,9,0)</f>
        <v>242</v>
      </c>
    </row>
    <row r="177" spans="1:11" ht="42.75" x14ac:dyDescent="0.2">
      <c r="A177" s="1" t="s">
        <v>747</v>
      </c>
      <c r="B177" s="1">
        <v>6</v>
      </c>
      <c r="C177" s="1" t="s">
        <v>748</v>
      </c>
      <c r="D177" s="1" t="s">
        <v>2847</v>
      </c>
      <c r="E177" s="1" t="s">
        <v>2848</v>
      </c>
      <c r="F177" s="1" t="s">
        <v>2698</v>
      </c>
      <c r="G177" s="1" t="s">
        <v>2849</v>
      </c>
      <c r="H177" s="1" t="s">
        <v>2847</v>
      </c>
      <c r="I177" s="1" t="s">
        <v>88</v>
      </c>
      <c r="J177" s="1" t="s">
        <v>2848</v>
      </c>
      <c r="K177" s="1">
        <v>175</v>
      </c>
    </row>
    <row r="178" spans="1:11" x14ac:dyDescent="0.2">
      <c r="A178" s="1" t="s">
        <v>747</v>
      </c>
      <c r="B178" s="1">
        <v>6</v>
      </c>
      <c r="C178" s="1" t="s">
        <v>2850</v>
      </c>
      <c r="D178" s="1" t="s">
        <v>1360</v>
      </c>
      <c r="E178" s="1" t="s">
        <v>2851</v>
      </c>
      <c r="F178" s="1" t="s">
        <v>2852</v>
      </c>
      <c r="G178" s="1" t="s">
        <v>2853</v>
      </c>
      <c r="H178" s="1" t="s">
        <v>1360</v>
      </c>
      <c r="I178" s="1" t="s">
        <v>88</v>
      </c>
      <c r="J178" s="1" t="s">
        <v>2851</v>
      </c>
      <c r="K178" s="1">
        <v>158</v>
      </c>
    </row>
    <row r="179" spans="1:11" ht="42.75" x14ac:dyDescent="0.2">
      <c r="A179" s="1" t="s">
        <v>747</v>
      </c>
      <c r="B179" s="1">
        <v>6</v>
      </c>
      <c r="C179" s="1" t="s">
        <v>759</v>
      </c>
      <c r="D179" s="1" t="s">
        <v>760</v>
      </c>
      <c r="E179" s="1" t="s">
        <v>2854</v>
      </c>
      <c r="F179" s="1" t="s">
        <v>2855</v>
      </c>
      <c r="G179" s="1" t="s">
        <v>2856</v>
      </c>
      <c r="H179" s="1" t="s">
        <v>2855</v>
      </c>
      <c r="I179" s="1" t="s">
        <v>88</v>
      </c>
      <c r="J179" s="1" t="s">
        <v>2856</v>
      </c>
      <c r="K179" s="1">
        <v>129</v>
      </c>
    </row>
    <row r="180" spans="1:11" ht="28.5" x14ac:dyDescent="0.2">
      <c r="A180" s="1" t="s">
        <v>747</v>
      </c>
      <c r="B180" s="1">
        <v>7</v>
      </c>
      <c r="C180" s="1" t="s">
        <v>764</v>
      </c>
      <c r="D180" s="1" t="s">
        <v>1731</v>
      </c>
      <c r="E180" s="1" t="s">
        <v>2857</v>
      </c>
      <c r="F180" s="1" t="s">
        <v>762</v>
      </c>
      <c r="G180" s="1" t="s">
        <v>2858</v>
      </c>
      <c r="H180" s="1" t="s">
        <v>762</v>
      </c>
      <c r="I180" s="1" t="s">
        <v>94</v>
      </c>
      <c r="J180" s="1" t="s">
        <v>2859</v>
      </c>
      <c r="K180" s="1">
        <v>182</v>
      </c>
    </row>
    <row r="181" spans="1:11" ht="42.75" x14ac:dyDescent="0.2">
      <c r="A181" s="1" t="s">
        <v>747</v>
      </c>
      <c r="B181" s="1">
        <v>7</v>
      </c>
      <c r="C181" s="1" t="s">
        <v>1562</v>
      </c>
      <c r="D181" s="1" t="s">
        <v>2860</v>
      </c>
      <c r="E181" s="1" t="s">
        <v>2861</v>
      </c>
      <c r="F181" s="1" t="s">
        <v>946</v>
      </c>
      <c r="G181" s="1" t="s">
        <v>2862</v>
      </c>
      <c r="H181" s="1" t="s">
        <v>946</v>
      </c>
      <c r="I181" s="1" t="s">
        <v>94</v>
      </c>
      <c r="J181" s="1" t="s">
        <v>2862</v>
      </c>
      <c r="K181" s="1">
        <v>229</v>
      </c>
    </row>
    <row r="182" spans="1:11" x14ac:dyDescent="0.2">
      <c r="A182" s="1" t="s">
        <v>747</v>
      </c>
      <c r="B182" s="1">
        <v>7</v>
      </c>
      <c r="C182" s="1" t="s">
        <v>1552</v>
      </c>
      <c r="D182" s="1" t="s">
        <v>2863</v>
      </c>
      <c r="E182" s="1" t="s">
        <v>2864</v>
      </c>
      <c r="F182" s="1" t="s">
        <v>2865</v>
      </c>
      <c r="G182" s="1" t="s">
        <v>2866</v>
      </c>
      <c r="H182" s="1" t="s">
        <v>2865</v>
      </c>
      <c r="I182" s="1" t="s">
        <v>88</v>
      </c>
      <c r="J182" s="1" t="s">
        <v>2866</v>
      </c>
      <c r="K182" s="1">
        <v>138</v>
      </c>
    </row>
    <row r="183" spans="1:11" x14ac:dyDescent="0.2">
      <c r="A183" s="1" t="s">
        <v>747</v>
      </c>
      <c r="B183" s="1">
        <v>7</v>
      </c>
      <c r="C183" s="1" t="s">
        <v>754</v>
      </c>
      <c r="D183" s="1" t="s">
        <v>1128</v>
      </c>
      <c r="E183" s="1" t="s">
        <v>2867</v>
      </c>
      <c r="F183" s="1" t="s">
        <v>762</v>
      </c>
      <c r="G183" s="1" t="s">
        <v>2868</v>
      </c>
      <c r="H183" s="1" t="s">
        <v>762</v>
      </c>
      <c r="I183" s="1" t="s">
        <v>88</v>
      </c>
      <c r="J183" s="1" t="s">
        <v>2868</v>
      </c>
      <c r="K183" s="1">
        <v>168</v>
      </c>
    </row>
    <row r="184" spans="1:11" ht="57" x14ac:dyDescent="0.2">
      <c r="A184" s="1" t="s">
        <v>747</v>
      </c>
      <c r="B184" s="1">
        <v>7</v>
      </c>
      <c r="C184" s="1" t="s">
        <v>773</v>
      </c>
      <c r="D184" s="1" t="s">
        <v>2174</v>
      </c>
      <c r="E184" s="1" t="s">
        <v>2869</v>
      </c>
      <c r="F184" s="1" t="s">
        <v>2870</v>
      </c>
      <c r="G184" s="1" t="s">
        <v>2871</v>
      </c>
      <c r="H184" s="1" t="s">
        <v>2870</v>
      </c>
      <c r="I184" s="1" t="s">
        <v>88</v>
      </c>
      <c r="J184" s="1" t="s">
        <v>2871</v>
      </c>
      <c r="K184" s="1">
        <v>238</v>
      </c>
    </row>
    <row r="185" spans="1:11" ht="42.75" x14ac:dyDescent="0.2">
      <c r="A185" s="1" t="s">
        <v>747</v>
      </c>
      <c r="B185" s="1">
        <v>8</v>
      </c>
      <c r="C185" s="1" t="s">
        <v>793</v>
      </c>
      <c r="D185" s="1" t="s">
        <v>2004</v>
      </c>
      <c r="E185" s="1" t="s">
        <v>2872</v>
      </c>
      <c r="F185" s="1" t="s">
        <v>2833</v>
      </c>
      <c r="G185" s="1" t="s">
        <v>2873</v>
      </c>
      <c r="H185" s="1" t="s">
        <v>2833</v>
      </c>
      <c r="I185" s="1" t="s">
        <v>94</v>
      </c>
      <c r="J185" s="1" t="s">
        <v>2873</v>
      </c>
      <c r="K185" s="1">
        <v>248</v>
      </c>
    </row>
    <row r="186" spans="1:11" x14ac:dyDescent="0.2">
      <c r="A186" s="1" t="s">
        <v>747</v>
      </c>
      <c r="B186" s="1">
        <v>9</v>
      </c>
      <c r="C186" s="1" t="s">
        <v>769</v>
      </c>
      <c r="D186" s="1" t="s">
        <v>1212</v>
      </c>
      <c r="E186" s="1" t="s">
        <v>2874</v>
      </c>
      <c r="F186" s="1" t="s">
        <v>663</v>
      </c>
      <c r="G186" s="1" t="s">
        <v>2875</v>
      </c>
      <c r="H186" s="1" t="s">
        <v>1212</v>
      </c>
      <c r="I186" s="1" t="s">
        <v>94</v>
      </c>
      <c r="J186" s="1" t="s">
        <v>2874</v>
      </c>
      <c r="K186" s="1">
        <v>204</v>
      </c>
    </row>
    <row r="187" spans="1:11" ht="28.5" x14ac:dyDescent="0.2">
      <c r="A187" s="1" t="s">
        <v>747</v>
      </c>
      <c r="B187" s="1">
        <v>9</v>
      </c>
      <c r="C187" s="1" t="s">
        <v>1574</v>
      </c>
      <c r="D187" s="1" t="str">
        <f>VLOOKUP(C187,[1]泡!$C:$D,2,0)</f>
        <v>A232</v>
      </c>
      <c r="E187" s="1" t="str">
        <f>VLOOKUP(C187,[1]泡!$C:$E,3,0)</f>
        <v>A：左下2号球
E：右上5号蓝条吃完</v>
      </c>
      <c r="F187" s="1" t="str">
        <f>VLOOKUP(C187,[1]泡!$C:$F,4,0)</f>
        <v>B545</v>
      </c>
      <c r="G187" s="1" t="str">
        <f>VLOOKUP(C187,[1]泡!$C:$G,5,0)</f>
        <v>B：左4号蓝条
E：左下8号蓝条吃完</v>
      </c>
      <c r="H187" s="1" t="str">
        <f>VLOOKUP(C187,[1]泡!$C:$H,6,0)</f>
        <v>A232</v>
      </c>
      <c r="I187" s="1" t="str">
        <f>VLOOKUP(C187,[1]泡!$C:$I,7,0)</f>
        <v>极限</v>
      </c>
      <c r="J187" s="1" t="str">
        <f>VLOOKUP(C187,[1]泡!$C:$J,8,0)</f>
        <v>A：左下2号球
E：右上5号蓝条吃完</v>
      </c>
      <c r="K187" s="1">
        <f>VLOOKUP(C187,[1]泡!$C:$K,9,0)</f>
        <v>287</v>
      </c>
    </row>
    <row r="188" spans="1:11" ht="57" x14ac:dyDescent="0.2">
      <c r="A188" s="1" t="s">
        <v>747</v>
      </c>
      <c r="B188" s="1">
        <v>10</v>
      </c>
      <c r="C188" s="1" t="s">
        <v>798</v>
      </c>
      <c r="D188" s="1" t="s">
        <v>2876</v>
      </c>
      <c r="E188" s="1" t="s">
        <v>2877</v>
      </c>
      <c r="F188" s="1" t="s">
        <v>1714</v>
      </c>
      <c r="G188" s="1" t="s">
        <v>2878</v>
      </c>
      <c r="H188" s="1" t="s">
        <v>1714</v>
      </c>
      <c r="I188" s="1" t="s">
        <v>94</v>
      </c>
      <c r="J188" s="1" t="s">
        <v>2878</v>
      </c>
      <c r="K188" s="1">
        <v>243</v>
      </c>
    </row>
    <row r="189" spans="1:11" x14ac:dyDescent="0.2">
      <c r="A189" s="1" t="s">
        <v>747</v>
      </c>
      <c r="B189" s="1">
        <v>10</v>
      </c>
      <c r="C189" s="1" t="s">
        <v>1586</v>
      </c>
      <c r="D189" s="1" t="s">
        <v>1037</v>
      </c>
      <c r="E189" s="1" t="s">
        <v>2523</v>
      </c>
      <c r="F189" s="1" t="s">
        <v>164</v>
      </c>
      <c r="G189" s="1" t="s">
        <v>2553</v>
      </c>
      <c r="H189" s="1" t="s">
        <v>164</v>
      </c>
      <c r="I189" s="1" t="s">
        <v>94</v>
      </c>
      <c r="J189" s="1" t="s">
        <v>2553</v>
      </c>
      <c r="K189" s="1">
        <v>291</v>
      </c>
    </row>
    <row r="190" spans="1:11" ht="28.5" x14ac:dyDescent="0.2">
      <c r="A190" s="1" t="s">
        <v>747</v>
      </c>
      <c r="B190" s="1">
        <v>10</v>
      </c>
      <c r="C190" s="1" t="s">
        <v>784</v>
      </c>
      <c r="D190" s="1" t="s">
        <v>413</v>
      </c>
      <c r="E190" s="1" t="s">
        <v>2879</v>
      </c>
      <c r="F190" s="1" t="s">
        <v>2880</v>
      </c>
      <c r="G190" s="1" t="s">
        <v>2881</v>
      </c>
      <c r="H190" s="1" t="s">
        <v>2880</v>
      </c>
      <c r="I190" s="1" t="s">
        <v>94</v>
      </c>
      <c r="J190" s="1" t="s">
        <v>2881</v>
      </c>
      <c r="K190" s="1">
        <v>356</v>
      </c>
    </row>
    <row r="191" spans="1:11" x14ac:dyDescent="0.2">
      <c r="A191" s="1" t="s">
        <v>747</v>
      </c>
      <c r="B191" s="1">
        <v>10</v>
      </c>
      <c r="C191" s="1" t="s">
        <v>789</v>
      </c>
      <c r="D191" s="1" t="s">
        <v>1072</v>
      </c>
      <c r="E191" s="1" t="s">
        <v>2882</v>
      </c>
      <c r="F191" s="1" t="s">
        <v>2883</v>
      </c>
      <c r="G191" s="1" t="s">
        <v>2884</v>
      </c>
      <c r="H191" s="1" t="s">
        <v>1072</v>
      </c>
      <c r="I191" s="1" t="s">
        <v>94</v>
      </c>
      <c r="J191" s="1" t="s">
        <v>2882</v>
      </c>
      <c r="K191" s="1">
        <v>330</v>
      </c>
    </row>
    <row r="192" spans="1:11" ht="42.75" x14ac:dyDescent="0.2">
      <c r="A192" s="1" t="s">
        <v>747</v>
      </c>
      <c r="B192" s="1">
        <v>10</v>
      </c>
      <c r="C192" s="1" t="s">
        <v>803</v>
      </c>
      <c r="D192" s="1" t="s">
        <v>1222</v>
      </c>
      <c r="E192" s="1" t="s">
        <v>2885</v>
      </c>
      <c r="F192" s="1" t="s">
        <v>2357</v>
      </c>
      <c r="G192" s="1" t="s">
        <v>2886</v>
      </c>
      <c r="H192" s="1" t="s">
        <v>1222</v>
      </c>
      <c r="I192" s="1" t="s">
        <v>94</v>
      </c>
      <c r="J192" s="1" t="s">
        <v>2885</v>
      </c>
      <c r="K192" s="1">
        <v>400</v>
      </c>
    </row>
    <row r="193" spans="1:12" x14ac:dyDescent="0.2">
      <c r="A193" s="1" t="s">
        <v>809</v>
      </c>
      <c r="B193" s="1">
        <v>6</v>
      </c>
      <c r="C193" s="1" t="s">
        <v>2887</v>
      </c>
      <c r="D193" s="1" t="s">
        <v>2888</v>
      </c>
      <c r="E193" s="1" t="s">
        <v>2889</v>
      </c>
      <c r="F193" s="1" t="s">
        <v>2890</v>
      </c>
      <c r="G193" s="1" t="s">
        <v>2891</v>
      </c>
      <c r="H193" s="1" t="s">
        <v>2888</v>
      </c>
      <c r="I193" s="1" t="s">
        <v>88</v>
      </c>
      <c r="J193" s="1" t="s">
        <v>2889</v>
      </c>
      <c r="K193" s="1">
        <v>135</v>
      </c>
    </row>
    <row r="194" spans="1:12" ht="57" x14ac:dyDescent="0.2">
      <c r="A194" s="1" t="s">
        <v>809</v>
      </c>
      <c r="B194" s="1">
        <v>6</v>
      </c>
      <c r="C194" s="1" t="s">
        <v>2892</v>
      </c>
      <c r="D194" s="1" t="s">
        <v>2824</v>
      </c>
      <c r="E194" s="1" t="s">
        <v>2893</v>
      </c>
      <c r="F194" s="1" t="s">
        <v>2894</v>
      </c>
      <c r="G194" s="1" t="s">
        <v>2895</v>
      </c>
      <c r="H194" s="1" t="s">
        <v>2894</v>
      </c>
      <c r="I194" s="1" t="s">
        <v>88</v>
      </c>
      <c r="J194" s="1" t="s">
        <v>2895</v>
      </c>
      <c r="K194" s="1">
        <v>160</v>
      </c>
    </row>
    <row r="195" spans="1:12" x14ac:dyDescent="0.2">
      <c r="A195" s="1" t="s">
        <v>809</v>
      </c>
      <c r="B195" s="1">
        <v>6</v>
      </c>
      <c r="C195" s="1" t="s">
        <v>2896</v>
      </c>
      <c r="D195" s="1" t="s">
        <v>1429</v>
      </c>
      <c r="E195" s="1" t="s">
        <v>2897</v>
      </c>
      <c r="F195" s="1" t="s">
        <v>2257</v>
      </c>
      <c r="G195" s="1" t="s">
        <v>2898</v>
      </c>
      <c r="H195" s="1" t="s">
        <v>2257</v>
      </c>
      <c r="I195" s="1" t="s">
        <v>88</v>
      </c>
      <c r="J195" s="1" t="s">
        <v>2898</v>
      </c>
      <c r="K195" s="1">
        <v>156</v>
      </c>
    </row>
    <row r="196" spans="1:12" ht="28.5" x14ac:dyDescent="0.2">
      <c r="A196" s="1" t="s">
        <v>809</v>
      </c>
      <c r="B196" s="1">
        <v>6</v>
      </c>
      <c r="C196" s="1" t="s">
        <v>2899</v>
      </c>
      <c r="D196" s="1" t="str">
        <f>VLOOKUP(C196,[1]泡!$C:$D,2,0)</f>
        <v>A62</v>
      </c>
      <c r="E196" s="1" t="str">
        <f>VLOOKUP(C196,[1]泡!$C:$E,3,0)</f>
        <v>A：右下4开始三连点
E：右手蓝条</v>
      </c>
      <c r="F196" s="1" t="str">
        <f>VLOOKUP(C196,[1]泡!$C:$F,4,0)</f>
        <v>B218</v>
      </c>
      <c r="G196" s="1" t="str">
        <f>VLOOKUP(C196,[1]泡!$C:$G,5,0)</f>
        <v>B：左手4开始三连点
E：左手蓝条</v>
      </c>
      <c r="H196" s="1" t="str">
        <f>VLOOKUP(C196,[1]泡!$C:$H,6,0)</f>
        <v>B218</v>
      </c>
      <c r="I196" s="1" t="str">
        <f>VLOOKUP(C196,[1]泡!$C:$I,7,0)</f>
        <v>爆气</v>
      </c>
      <c r="J196" s="1" t="str">
        <f>VLOOKUP(C196,[1]泡!$C:$J,8,0)</f>
        <v>B：左手4开始三连点
E：左手蓝条</v>
      </c>
      <c r="K196" s="1">
        <f>VLOOKUP(C196,[1]泡!$C:$K,9,0)</f>
        <v>143</v>
      </c>
    </row>
    <row r="197" spans="1:12" ht="28.5" x14ac:dyDescent="0.2">
      <c r="A197" s="1" t="s">
        <v>809</v>
      </c>
      <c r="B197" s="1">
        <v>7</v>
      </c>
      <c r="C197" s="1" t="s">
        <v>821</v>
      </c>
      <c r="D197" s="1" t="s">
        <v>2469</v>
      </c>
      <c r="E197" s="1" t="s">
        <v>2482</v>
      </c>
      <c r="F197" s="1" t="s">
        <v>1714</v>
      </c>
      <c r="G197" s="1" t="s">
        <v>2900</v>
      </c>
      <c r="H197" s="1" t="s">
        <v>1714</v>
      </c>
      <c r="I197" s="1" t="s">
        <v>94</v>
      </c>
      <c r="J197" s="1" t="s">
        <v>2900</v>
      </c>
      <c r="K197" s="1">
        <v>149</v>
      </c>
    </row>
    <row r="198" spans="1:12" ht="42.75" x14ac:dyDescent="0.2">
      <c r="A198" s="1" t="s">
        <v>809</v>
      </c>
      <c r="B198" s="1">
        <v>8</v>
      </c>
      <c r="C198" s="1" t="s">
        <v>825</v>
      </c>
      <c r="D198" s="1" t="s">
        <v>826</v>
      </c>
      <c r="E198" s="1" t="s">
        <v>2901</v>
      </c>
      <c r="F198" s="1" t="s">
        <v>2607</v>
      </c>
      <c r="G198" s="1" t="s">
        <v>2902</v>
      </c>
      <c r="H198" s="1" t="s">
        <v>2790</v>
      </c>
      <c r="I198" s="1" t="s">
        <v>88</v>
      </c>
      <c r="J198" s="1" t="s">
        <v>2673</v>
      </c>
      <c r="K198" s="1">
        <v>156</v>
      </c>
    </row>
    <row r="199" spans="1:12" x14ac:dyDescent="0.2">
      <c r="A199" s="1" t="s">
        <v>809</v>
      </c>
      <c r="B199" s="1">
        <v>8</v>
      </c>
      <c r="C199" s="1" t="s">
        <v>817</v>
      </c>
      <c r="D199" s="1" t="s">
        <v>1333</v>
      </c>
      <c r="E199" s="1" t="s">
        <v>2903</v>
      </c>
      <c r="F199" s="1" t="s">
        <v>2904</v>
      </c>
      <c r="G199" s="1" t="s">
        <v>2905</v>
      </c>
      <c r="H199" s="1" t="s">
        <v>1333</v>
      </c>
      <c r="I199" s="1" t="s">
        <v>94</v>
      </c>
      <c r="J199" s="1" t="s">
        <v>2903</v>
      </c>
      <c r="K199" s="1">
        <v>237</v>
      </c>
    </row>
    <row r="200" spans="1:12" ht="28.5" x14ac:dyDescent="0.2">
      <c r="A200" s="1" t="s">
        <v>809</v>
      </c>
      <c r="B200" s="1">
        <v>8</v>
      </c>
      <c r="C200" s="1" t="s">
        <v>1612</v>
      </c>
      <c r="D200" s="1" t="s">
        <v>2578</v>
      </c>
      <c r="E200" s="1" t="s">
        <v>2906</v>
      </c>
      <c r="F200" s="1" t="s">
        <v>2904</v>
      </c>
      <c r="G200" s="1" t="s">
        <v>2907</v>
      </c>
      <c r="H200" s="1" t="s">
        <v>2904</v>
      </c>
      <c r="I200" s="1" t="s">
        <v>94</v>
      </c>
      <c r="J200" s="1" t="s">
        <v>2907</v>
      </c>
      <c r="K200" s="1">
        <v>194</v>
      </c>
    </row>
    <row r="201" spans="1:12" ht="57" x14ac:dyDescent="0.2">
      <c r="A201" s="1" t="s">
        <v>809</v>
      </c>
      <c r="B201" s="1">
        <v>9</v>
      </c>
      <c r="C201" s="1" t="s">
        <v>835</v>
      </c>
      <c r="D201" s="1" t="s">
        <v>859</v>
      </c>
      <c r="E201" s="1" t="s">
        <v>2908</v>
      </c>
      <c r="F201" s="1" t="s">
        <v>393</v>
      </c>
      <c r="G201" s="1" t="s">
        <v>2909</v>
      </c>
      <c r="H201" s="1" t="s">
        <v>859</v>
      </c>
      <c r="I201" s="1" t="s">
        <v>94</v>
      </c>
      <c r="J201" s="1" t="s">
        <v>2908</v>
      </c>
      <c r="K201" s="1">
        <v>248</v>
      </c>
    </row>
    <row r="202" spans="1:12" x14ac:dyDescent="0.2">
      <c r="A202" s="1" t="s">
        <v>809</v>
      </c>
      <c r="B202" s="1">
        <v>9</v>
      </c>
      <c r="C202" s="1" t="s">
        <v>830</v>
      </c>
      <c r="D202" s="1" t="s">
        <v>2910</v>
      </c>
      <c r="E202" s="1" t="s">
        <v>2911</v>
      </c>
      <c r="F202" s="1" t="s">
        <v>2912</v>
      </c>
      <c r="G202" s="1" t="s">
        <v>2913</v>
      </c>
      <c r="H202" s="1" t="s">
        <v>2912</v>
      </c>
      <c r="I202" s="1" t="s">
        <v>94</v>
      </c>
      <c r="J202" s="1" t="s">
        <v>2913</v>
      </c>
      <c r="K202" s="1">
        <v>369</v>
      </c>
    </row>
    <row r="203" spans="1:12" ht="57" x14ac:dyDescent="0.2">
      <c r="A203" s="1" t="s">
        <v>809</v>
      </c>
      <c r="B203" s="1">
        <v>9</v>
      </c>
      <c r="C203" s="1" t="s">
        <v>847</v>
      </c>
      <c r="D203" s="1" t="s">
        <v>406</v>
      </c>
      <c r="E203" s="1" t="s">
        <v>2914</v>
      </c>
      <c r="F203" s="1" t="s">
        <v>2915</v>
      </c>
      <c r="G203" s="1" t="s">
        <v>2916</v>
      </c>
      <c r="H203" s="1" t="s">
        <v>406</v>
      </c>
      <c r="I203" s="1" t="s">
        <v>94</v>
      </c>
      <c r="J203" s="1" t="s">
        <v>2914</v>
      </c>
      <c r="K203" s="1">
        <v>528</v>
      </c>
    </row>
    <row r="204" spans="1:12" ht="57" x14ac:dyDescent="0.2">
      <c r="A204" s="1" t="s">
        <v>809</v>
      </c>
      <c r="B204" s="1">
        <v>10</v>
      </c>
      <c r="C204" s="1" t="s">
        <v>841</v>
      </c>
      <c r="D204" s="1" t="s">
        <v>2917</v>
      </c>
      <c r="E204" s="1" t="s">
        <v>2918</v>
      </c>
      <c r="F204" s="1" t="s">
        <v>189</v>
      </c>
      <c r="G204" s="1" t="s">
        <v>2919</v>
      </c>
      <c r="H204" s="1" t="s">
        <v>189</v>
      </c>
      <c r="I204" s="1" t="s">
        <v>94</v>
      </c>
      <c r="J204" s="1" t="s">
        <v>2919</v>
      </c>
      <c r="K204" s="1">
        <v>326</v>
      </c>
    </row>
    <row r="205" spans="1:12" ht="28.5" x14ac:dyDescent="0.2">
      <c r="A205" s="1" t="s">
        <v>2920</v>
      </c>
      <c r="B205" s="1">
        <v>6</v>
      </c>
      <c r="C205" s="1" t="s">
        <v>2921</v>
      </c>
      <c r="D205" s="1" t="s">
        <v>2565</v>
      </c>
      <c r="E205" s="1" t="s">
        <v>2922</v>
      </c>
      <c r="F205" s="1" t="s">
        <v>2544</v>
      </c>
      <c r="G205" s="1" t="s">
        <v>2923</v>
      </c>
      <c r="H205" s="1" t="s">
        <v>571</v>
      </c>
      <c r="I205" s="1" t="s">
        <v>88</v>
      </c>
      <c r="J205" s="1" t="s">
        <v>2924</v>
      </c>
      <c r="K205" s="1">
        <v>129</v>
      </c>
    </row>
    <row r="206" spans="1:12" ht="57" x14ac:dyDescent="0.2">
      <c r="A206" s="1" t="s">
        <v>1635</v>
      </c>
      <c r="B206" s="1">
        <v>10</v>
      </c>
      <c r="C206" s="1" t="s">
        <v>2925</v>
      </c>
      <c r="D206" s="1" t="s">
        <v>774</v>
      </c>
      <c r="E206" s="1" t="s">
        <v>2926</v>
      </c>
      <c r="F206" s="1" t="s">
        <v>360</v>
      </c>
      <c r="G206" s="1" t="s">
        <v>2927</v>
      </c>
      <c r="H206" s="1" t="s">
        <v>774</v>
      </c>
      <c r="I206" s="1" t="s">
        <v>94</v>
      </c>
      <c r="J206" s="1" t="s">
        <v>2926</v>
      </c>
      <c r="K206" s="1">
        <v>552</v>
      </c>
    </row>
    <row r="207" spans="1:12" ht="57" x14ac:dyDescent="0.2">
      <c r="A207" s="1" t="s">
        <v>852</v>
      </c>
      <c r="B207" s="1">
        <v>6</v>
      </c>
      <c r="C207" s="1" t="s">
        <v>853</v>
      </c>
      <c r="D207" s="1" t="s">
        <v>2835</v>
      </c>
      <c r="E207" s="1" t="s">
        <v>3130</v>
      </c>
      <c r="F207" s="1" t="s">
        <v>2660</v>
      </c>
      <c r="G207" s="1" t="s">
        <v>3131</v>
      </c>
      <c r="H207" s="1" t="s">
        <v>2498</v>
      </c>
      <c r="I207" s="1" t="s">
        <v>3068</v>
      </c>
      <c r="J207" s="1" t="s">
        <v>3111</v>
      </c>
      <c r="K207" s="1">
        <v>155</v>
      </c>
      <c r="L207" s="1">
        <v>1</v>
      </c>
    </row>
    <row r="208" spans="1:12" ht="57" x14ac:dyDescent="0.2">
      <c r="A208" s="1" t="s">
        <v>852</v>
      </c>
      <c r="B208" s="1">
        <v>6</v>
      </c>
      <c r="C208" s="1" t="s">
        <v>858</v>
      </c>
      <c r="D208" s="1" t="s">
        <v>3074</v>
      </c>
      <c r="E208" s="1" t="s">
        <v>3132</v>
      </c>
      <c r="F208" s="1" t="s">
        <v>2820</v>
      </c>
      <c r="G208" s="1" t="s">
        <v>3133</v>
      </c>
      <c r="H208" s="1" t="s">
        <v>2820</v>
      </c>
      <c r="I208" s="1" t="s">
        <v>3068</v>
      </c>
      <c r="J208" s="1" t="s">
        <v>3133</v>
      </c>
      <c r="K208" s="1">
        <v>150</v>
      </c>
      <c r="L208" s="1">
        <v>1</v>
      </c>
    </row>
    <row r="209" spans="1:12" x14ac:dyDescent="0.2">
      <c r="A209" s="1" t="s">
        <v>852</v>
      </c>
      <c r="B209" s="1">
        <v>6</v>
      </c>
      <c r="C209" s="1" t="s">
        <v>2928</v>
      </c>
      <c r="D209" s="1" t="s">
        <v>2929</v>
      </c>
      <c r="E209" s="1" t="s">
        <v>2930</v>
      </c>
      <c r="F209" s="1" t="s">
        <v>868</v>
      </c>
      <c r="G209" s="1" t="s">
        <v>2931</v>
      </c>
      <c r="H209" s="1" t="s">
        <v>868</v>
      </c>
      <c r="I209" s="1" t="s">
        <v>94</v>
      </c>
      <c r="J209" s="1" t="s">
        <v>2931</v>
      </c>
      <c r="K209" s="1">
        <v>216</v>
      </c>
    </row>
    <row r="210" spans="1:12" x14ac:dyDescent="0.2">
      <c r="A210" s="1" t="s">
        <v>852</v>
      </c>
      <c r="B210" s="1">
        <v>6</v>
      </c>
      <c r="C210" s="1" t="s">
        <v>2932</v>
      </c>
      <c r="D210" s="1" t="s">
        <v>2933</v>
      </c>
      <c r="E210" s="1" t="s">
        <v>2934</v>
      </c>
      <c r="F210" s="1" t="s">
        <v>2833</v>
      </c>
      <c r="G210" s="1" t="s">
        <v>2935</v>
      </c>
      <c r="H210" s="1" t="s">
        <v>2933</v>
      </c>
      <c r="I210" s="1" t="s">
        <v>88</v>
      </c>
      <c r="J210" s="1" t="s">
        <v>2934</v>
      </c>
      <c r="K210" s="1">
        <v>121</v>
      </c>
    </row>
    <row r="211" spans="1:12" x14ac:dyDescent="0.2">
      <c r="A211" s="1" t="s">
        <v>852</v>
      </c>
      <c r="B211" s="1">
        <v>6</v>
      </c>
      <c r="C211" s="1" t="s">
        <v>2936</v>
      </c>
      <c r="D211" s="1" t="s">
        <v>2495</v>
      </c>
      <c r="E211" s="1" t="s">
        <v>2937</v>
      </c>
      <c r="F211" s="1" t="s">
        <v>225</v>
      </c>
      <c r="G211" s="1" t="s">
        <v>2938</v>
      </c>
      <c r="H211" s="1" t="s">
        <v>2495</v>
      </c>
      <c r="I211" s="1" t="s">
        <v>94</v>
      </c>
      <c r="J211" s="1" t="s">
        <v>2937</v>
      </c>
      <c r="K211" s="1">
        <v>199</v>
      </c>
    </row>
    <row r="212" spans="1:12" ht="57" x14ac:dyDescent="0.2">
      <c r="A212" s="1" t="s">
        <v>852</v>
      </c>
      <c r="B212" s="1">
        <v>7</v>
      </c>
      <c r="C212" s="1" t="s">
        <v>862</v>
      </c>
      <c r="D212" s="1" t="s">
        <v>2726</v>
      </c>
      <c r="E212" s="1" t="s">
        <v>3085</v>
      </c>
      <c r="F212" s="1" t="s">
        <v>96</v>
      </c>
      <c r="G212" s="1" t="s">
        <v>3100</v>
      </c>
      <c r="H212" s="1" t="s">
        <v>96</v>
      </c>
      <c r="I212" s="1" t="s">
        <v>3069</v>
      </c>
      <c r="J212" s="1" t="s">
        <v>3112</v>
      </c>
      <c r="K212" s="1">
        <v>194</v>
      </c>
      <c r="L212" s="1">
        <v>1</v>
      </c>
    </row>
    <row r="213" spans="1:12" ht="57" x14ac:dyDescent="0.2">
      <c r="A213" s="1" t="s">
        <v>852</v>
      </c>
      <c r="B213" s="1">
        <v>7</v>
      </c>
      <c r="C213" s="1" t="s">
        <v>1659</v>
      </c>
      <c r="D213" s="1" t="s">
        <v>762</v>
      </c>
      <c r="E213" s="1" t="s">
        <v>2939</v>
      </c>
      <c r="F213" s="1" t="s">
        <v>2534</v>
      </c>
      <c r="G213" s="1" t="s">
        <v>2940</v>
      </c>
      <c r="H213" s="1" t="s">
        <v>2636</v>
      </c>
      <c r="I213" s="1" t="s">
        <v>88</v>
      </c>
      <c r="J213" s="1" t="s">
        <v>2939</v>
      </c>
      <c r="K213" s="1">
        <v>153</v>
      </c>
    </row>
    <row r="214" spans="1:12" ht="57" x14ac:dyDescent="0.2">
      <c r="A214" s="1" t="s">
        <v>852</v>
      </c>
      <c r="B214" s="1">
        <v>7</v>
      </c>
      <c r="C214" s="1" t="s">
        <v>1669</v>
      </c>
      <c r="D214" s="1" t="s">
        <v>317</v>
      </c>
      <c r="E214" s="1" t="s">
        <v>2941</v>
      </c>
      <c r="F214" s="1" t="s">
        <v>2942</v>
      </c>
      <c r="G214" s="1" t="s">
        <v>2943</v>
      </c>
      <c r="H214" s="1" t="s">
        <v>317</v>
      </c>
      <c r="I214" s="1" t="s">
        <v>94</v>
      </c>
      <c r="J214" s="1" t="s">
        <v>2941</v>
      </c>
      <c r="K214" s="1">
        <v>332</v>
      </c>
    </row>
    <row r="215" spans="1:12" ht="57" x14ac:dyDescent="0.2">
      <c r="A215" s="1" t="s">
        <v>852</v>
      </c>
      <c r="B215" s="1">
        <v>7</v>
      </c>
      <c r="C215" s="1" t="s">
        <v>872</v>
      </c>
      <c r="D215" s="1" t="s">
        <v>2944</v>
      </c>
      <c r="E215" s="1" t="s">
        <v>2945</v>
      </c>
      <c r="F215" s="1" t="s">
        <v>880</v>
      </c>
      <c r="G215" s="1" t="s">
        <v>2946</v>
      </c>
      <c r="H215" s="1" t="s">
        <v>880</v>
      </c>
      <c r="I215" s="1" t="s">
        <v>88</v>
      </c>
      <c r="J215" s="1" t="s">
        <v>2946</v>
      </c>
      <c r="K215" s="1">
        <v>156</v>
      </c>
    </row>
    <row r="216" spans="1:12" ht="57" x14ac:dyDescent="0.2">
      <c r="A216" s="1" t="s">
        <v>852</v>
      </c>
      <c r="B216" s="1">
        <v>7</v>
      </c>
      <c r="C216" s="1" t="s">
        <v>877</v>
      </c>
      <c r="D216" s="1" t="s">
        <v>2947</v>
      </c>
      <c r="E216" s="1" t="s">
        <v>2948</v>
      </c>
      <c r="F216" s="1" t="s">
        <v>1251</v>
      </c>
      <c r="G216" s="1" t="s">
        <v>2949</v>
      </c>
      <c r="H216" s="1" t="s">
        <v>1251</v>
      </c>
      <c r="I216" s="1" t="s">
        <v>88</v>
      </c>
      <c r="J216" s="1" t="s">
        <v>2949</v>
      </c>
      <c r="K216" s="1">
        <v>164</v>
      </c>
    </row>
    <row r="217" spans="1:12" ht="42.75" x14ac:dyDescent="0.2">
      <c r="A217" s="1" t="s">
        <v>852</v>
      </c>
      <c r="B217" s="1">
        <v>7</v>
      </c>
      <c r="C217" s="1" t="s">
        <v>886</v>
      </c>
      <c r="D217" s="1" t="s">
        <v>2589</v>
      </c>
      <c r="E217" s="1" t="s">
        <v>2950</v>
      </c>
      <c r="F217" s="1" t="s">
        <v>1104</v>
      </c>
      <c r="G217" s="1" t="s">
        <v>2951</v>
      </c>
      <c r="H217" s="1" t="s">
        <v>1502</v>
      </c>
      <c r="I217" s="1" t="s">
        <v>94</v>
      </c>
      <c r="J217" s="1" t="s">
        <v>2673</v>
      </c>
      <c r="K217" s="1">
        <v>214</v>
      </c>
    </row>
    <row r="218" spans="1:12" ht="42.75" x14ac:dyDescent="0.2">
      <c r="A218" s="1" t="s">
        <v>852</v>
      </c>
      <c r="B218" s="1">
        <v>7</v>
      </c>
      <c r="C218" s="1" t="s">
        <v>891</v>
      </c>
      <c r="D218" s="1" t="s">
        <v>687</v>
      </c>
      <c r="E218" s="1" t="s">
        <v>2952</v>
      </c>
      <c r="F218" s="1" t="s">
        <v>461</v>
      </c>
      <c r="G218" s="1" t="s">
        <v>2953</v>
      </c>
      <c r="H218" s="1" t="s">
        <v>687</v>
      </c>
      <c r="I218" s="1" t="s">
        <v>94</v>
      </c>
      <c r="J218" s="1" t="s">
        <v>2952</v>
      </c>
      <c r="K218" s="1">
        <v>314</v>
      </c>
    </row>
    <row r="219" spans="1:12" ht="42.75" x14ac:dyDescent="0.2">
      <c r="A219" s="1" t="s">
        <v>852</v>
      </c>
      <c r="B219" s="1">
        <v>8</v>
      </c>
      <c r="C219" s="1" t="s">
        <v>895</v>
      </c>
      <c r="D219" s="1" t="s">
        <v>2942</v>
      </c>
      <c r="E219" s="1" t="s">
        <v>2954</v>
      </c>
      <c r="F219" s="1" t="s">
        <v>336</v>
      </c>
      <c r="G219" s="1" t="s">
        <v>2955</v>
      </c>
      <c r="H219" s="1" t="s">
        <v>336</v>
      </c>
      <c r="I219" s="1" t="s">
        <v>88</v>
      </c>
      <c r="J219" s="1" t="s">
        <v>2955</v>
      </c>
      <c r="K219" s="1">
        <v>256</v>
      </c>
    </row>
    <row r="220" spans="1:12" ht="57" x14ac:dyDescent="0.2">
      <c r="A220" s="1" t="s">
        <v>852</v>
      </c>
      <c r="B220" s="1">
        <v>8</v>
      </c>
      <c r="C220" s="1" t="s">
        <v>909</v>
      </c>
      <c r="D220" s="1" t="s">
        <v>1372</v>
      </c>
      <c r="E220" s="1" t="s">
        <v>2956</v>
      </c>
      <c r="F220" s="1" t="s">
        <v>2721</v>
      </c>
      <c r="G220" s="1" t="s">
        <v>2957</v>
      </c>
      <c r="H220" s="1" t="s">
        <v>2721</v>
      </c>
      <c r="I220" s="1" t="s">
        <v>88</v>
      </c>
      <c r="J220" s="1" t="s">
        <v>2957</v>
      </c>
      <c r="K220" s="1">
        <v>300</v>
      </c>
    </row>
    <row r="221" spans="1:12" ht="42.75" x14ac:dyDescent="0.2">
      <c r="A221" s="1" t="s">
        <v>852</v>
      </c>
      <c r="B221" s="1">
        <v>8</v>
      </c>
      <c r="C221" s="1" t="s">
        <v>882</v>
      </c>
      <c r="D221" s="1" t="s">
        <v>2958</v>
      </c>
      <c r="E221" s="1" t="s">
        <v>2959</v>
      </c>
      <c r="F221" s="1" t="s">
        <v>2111</v>
      </c>
      <c r="G221" s="1" t="s">
        <v>2960</v>
      </c>
      <c r="H221" s="1" t="s">
        <v>2111</v>
      </c>
      <c r="I221" s="1" t="s">
        <v>88</v>
      </c>
      <c r="J221" s="1" t="s">
        <v>2961</v>
      </c>
      <c r="K221" s="1">
        <v>196</v>
      </c>
    </row>
    <row r="222" spans="1:12" ht="57" x14ac:dyDescent="0.2">
      <c r="A222" s="1" t="s">
        <v>852</v>
      </c>
      <c r="B222" s="1">
        <v>8</v>
      </c>
      <c r="C222" s="1" t="s">
        <v>2962</v>
      </c>
      <c r="D222" s="1" t="s">
        <v>2529</v>
      </c>
      <c r="E222" s="1" t="s">
        <v>2963</v>
      </c>
      <c r="F222" s="1" t="s">
        <v>2746</v>
      </c>
      <c r="G222" s="1" t="s">
        <v>2964</v>
      </c>
      <c r="H222" s="1" t="s">
        <v>2746</v>
      </c>
      <c r="I222" s="1" t="s">
        <v>88</v>
      </c>
      <c r="J222" s="1" t="s">
        <v>2964</v>
      </c>
      <c r="K222" s="1">
        <v>140</v>
      </c>
    </row>
    <row r="223" spans="1:12" ht="42.75" x14ac:dyDescent="0.2">
      <c r="A223" s="1" t="s">
        <v>852</v>
      </c>
      <c r="B223" s="1">
        <v>9</v>
      </c>
      <c r="C223" s="1" t="s">
        <v>900</v>
      </c>
      <c r="D223" s="1" t="s">
        <v>3075</v>
      </c>
      <c r="E223" s="1" t="s">
        <v>3086</v>
      </c>
      <c r="F223" s="1" t="s">
        <v>1235</v>
      </c>
      <c r="G223" s="1" t="s">
        <v>3101</v>
      </c>
      <c r="H223" s="1" t="s">
        <v>3075</v>
      </c>
      <c r="I223" s="1" t="s">
        <v>3068</v>
      </c>
      <c r="J223" s="1" t="s">
        <v>3086</v>
      </c>
      <c r="K223" s="1">
        <v>244</v>
      </c>
      <c r="L223" s="1">
        <v>1</v>
      </c>
    </row>
    <row r="224" spans="1:12" ht="42.75" x14ac:dyDescent="0.2">
      <c r="A224" s="1" t="s">
        <v>852</v>
      </c>
      <c r="B224" s="1">
        <v>9</v>
      </c>
      <c r="C224" s="1" t="s">
        <v>2965</v>
      </c>
      <c r="D224" s="1" t="s">
        <v>2569</v>
      </c>
      <c r="E224" s="1" t="s">
        <v>3077</v>
      </c>
      <c r="F224" s="1" t="s">
        <v>2824</v>
      </c>
      <c r="G224" s="1" t="s">
        <v>3114</v>
      </c>
      <c r="H224" s="1" t="s">
        <v>3078</v>
      </c>
      <c r="I224" s="1" t="s">
        <v>94</v>
      </c>
      <c r="J224" s="1" t="s">
        <v>3113</v>
      </c>
      <c r="K224" s="1">
        <v>199</v>
      </c>
      <c r="L224" s="1">
        <v>1</v>
      </c>
    </row>
    <row r="225" spans="1:11" ht="57" x14ac:dyDescent="0.2">
      <c r="A225" s="1" t="s">
        <v>852</v>
      </c>
      <c r="B225" s="1">
        <v>10</v>
      </c>
      <c r="C225" s="1" t="s">
        <v>926</v>
      </c>
      <c r="D225" s="1" t="s">
        <v>2966</v>
      </c>
      <c r="E225" s="1" t="s">
        <v>2967</v>
      </c>
      <c r="F225" s="1" t="s">
        <v>2968</v>
      </c>
      <c r="G225" s="1" t="s">
        <v>2969</v>
      </c>
      <c r="H225" s="1" t="s">
        <v>2966</v>
      </c>
      <c r="I225" s="1" t="s">
        <v>94</v>
      </c>
      <c r="J225" s="1" t="s">
        <v>2970</v>
      </c>
      <c r="K225" s="1">
        <v>272</v>
      </c>
    </row>
    <row r="226" spans="1:11" ht="57" x14ac:dyDescent="0.2">
      <c r="A226" s="1" t="s">
        <v>852</v>
      </c>
      <c r="B226" s="1">
        <v>10</v>
      </c>
      <c r="C226" s="1" t="s">
        <v>914</v>
      </c>
      <c r="D226" s="1" t="s">
        <v>96</v>
      </c>
      <c r="E226" s="1" t="s">
        <v>2971</v>
      </c>
      <c r="F226" s="1" t="s">
        <v>1255</v>
      </c>
      <c r="G226" s="1" t="s">
        <v>2972</v>
      </c>
      <c r="H226" s="1" t="s">
        <v>96</v>
      </c>
      <c r="I226" s="1" t="s">
        <v>94</v>
      </c>
      <c r="J226" s="1" t="s">
        <v>2973</v>
      </c>
      <c r="K226" s="1">
        <v>289</v>
      </c>
    </row>
    <row r="227" spans="1:11" ht="57" x14ac:dyDescent="0.2">
      <c r="A227" s="1" t="s">
        <v>852</v>
      </c>
      <c r="B227" s="1">
        <v>10</v>
      </c>
      <c r="C227" s="1" t="s">
        <v>919</v>
      </c>
      <c r="D227" s="1" t="s">
        <v>2222</v>
      </c>
      <c r="E227" s="1" t="s">
        <v>3156</v>
      </c>
      <c r="H227" s="1" t="s">
        <v>466</v>
      </c>
      <c r="I227" s="1" t="s">
        <v>94</v>
      </c>
      <c r="J227" s="1" t="s">
        <v>2974</v>
      </c>
      <c r="K227" s="1">
        <v>407</v>
      </c>
    </row>
    <row r="228" spans="1:11" ht="42.75" x14ac:dyDescent="0.2">
      <c r="A228" s="1" t="s">
        <v>931</v>
      </c>
      <c r="B228" s="1">
        <v>6</v>
      </c>
      <c r="C228" s="1" t="s">
        <v>2975</v>
      </c>
      <c r="D228" s="1" t="s">
        <v>2976</v>
      </c>
      <c r="E228" s="1" t="s">
        <v>2977</v>
      </c>
      <c r="F228" s="1" t="s">
        <v>2978</v>
      </c>
      <c r="G228" s="1" t="s">
        <v>2979</v>
      </c>
      <c r="H228" s="1" t="s">
        <v>2976</v>
      </c>
      <c r="I228" s="1" t="s">
        <v>88</v>
      </c>
      <c r="J228" s="1" t="s">
        <v>2977</v>
      </c>
      <c r="K228" s="1">
        <v>126</v>
      </c>
    </row>
    <row r="229" spans="1:11" ht="57" x14ac:dyDescent="0.2">
      <c r="A229" s="1" t="s">
        <v>931</v>
      </c>
      <c r="B229" s="1">
        <v>6</v>
      </c>
      <c r="C229" s="1" t="s">
        <v>2405</v>
      </c>
      <c r="D229" s="1" t="s">
        <v>1736</v>
      </c>
      <c r="E229" s="1" t="s">
        <v>2980</v>
      </c>
      <c r="F229" s="1" t="s">
        <v>1235</v>
      </c>
      <c r="G229" s="1" t="s">
        <v>2981</v>
      </c>
      <c r="H229" s="1" t="s">
        <v>1235</v>
      </c>
      <c r="I229" s="1" t="s">
        <v>219</v>
      </c>
      <c r="J229" s="1" t="s">
        <v>2981</v>
      </c>
      <c r="K229" s="1">
        <v>232</v>
      </c>
    </row>
    <row r="230" spans="1:11" ht="42.75" x14ac:dyDescent="0.2">
      <c r="A230" s="1" t="s">
        <v>931</v>
      </c>
      <c r="B230" s="1">
        <v>6</v>
      </c>
      <c r="C230" s="1" t="s">
        <v>2982</v>
      </c>
      <c r="D230" s="1" t="s">
        <v>1292</v>
      </c>
      <c r="E230" s="1" t="s">
        <v>2983</v>
      </c>
      <c r="F230" s="1" t="s">
        <v>2958</v>
      </c>
      <c r="G230" s="1" t="s">
        <v>2984</v>
      </c>
      <c r="H230" s="1" t="s">
        <v>2958</v>
      </c>
      <c r="I230" s="1" t="s">
        <v>88</v>
      </c>
      <c r="J230" s="1" t="s">
        <v>2984</v>
      </c>
      <c r="K230" s="1">
        <v>189</v>
      </c>
    </row>
    <row r="231" spans="1:11" ht="42.75" x14ac:dyDescent="0.2">
      <c r="A231" s="1" t="s">
        <v>931</v>
      </c>
      <c r="B231" s="1">
        <v>7</v>
      </c>
      <c r="C231" s="1" t="s">
        <v>932</v>
      </c>
      <c r="D231" s="1" t="s">
        <v>1479</v>
      </c>
      <c r="E231" s="1" t="s">
        <v>2985</v>
      </c>
      <c r="F231" s="1" t="s">
        <v>2986</v>
      </c>
      <c r="G231" s="1" t="s">
        <v>2987</v>
      </c>
      <c r="H231" s="1" t="s">
        <v>2986</v>
      </c>
      <c r="I231" s="1" t="s">
        <v>88</v>
      </c>
      <c r="J231" s="1" t="s">
        <v>2987</v>
      </c>
      <c r="K231" s="1">
        <v>158</v>
      </c>
    </row>
    <row r="232" spans="1:11" ht="57" x14ac:dyDescent="0.2">
      <c r="A232" s="1" t="s">
        <v>931</v>
      </c>
      <c r="B232" s="1">
        <v>7</v>
      </c>
      <c r="C232" s="1" t="s">
        <v>941</v>
      </c>
      <c r="D232" s="1" t="s">
        <v>2988</v>
      </c>
      <c r="E232" s="1" t="s">
        <v>2989</v>
      </c>
      <c r="F232" s="1" t="s">
        <v>663</v>
      </c>
      <c r="G232" s="1" t="s">
        <v>2990</v>
      </c>
      <c r="H232" s="1" t="s">
        <v>663</v>
      </c>
      <c r="I232" s="1" t="s">
        <v>88</v>
      </c>
      <c r="J232" s="1" t="s">
        <v>2990</v>
      </c>
      <c r="K232" s="1">
        <v>234</v>
      </c>
    </row>
    <row r="233" spans="1:11" ht="42.75" x14ac:dyDescent="0.2">
      <c r="A233" s="1" t="s">
        <v>931</v>
      </c>
      <c r="B233" s="1">
        <v>7</v>
      </c>
      <c r="C233" s="1" t="s">
        <v>950</v>
      </c>
      <c r="D233" s="1" t="s">
        <v>2089</v>
      </c>
      <c r="E233" s="1" t="s">
        <v>2991</v>
      </c>
      <c r="F233" s="1" t="s">
        <v>461</v>
      </c>
      <c r="G233" s="1" t="s">
        <v>2992</v>
      </c>
      <c r="H233" s="1" t="s">
        <v>1662</v>
      </c>
      <c r="I233" s="1" t="s">
        <v>94</v>
      </c>
      <c r="J233" s="1" t="s">
        <v>2673</v>
      </c>
      <c r="K233" s="1">
        <v>219</v>
      </c>
    </row>
    <row r="234" spans="1:11" ht="57" x14ac:dyDescent="0.2">
      <c r="A234" s="1" t="s">
        <v>931</v>
      </c>
      <c r="B234" s="1">
        <v>7</v>
      </c>
      <c r="C234" s="1" t="s">
        <v>937</v>
      </c>
      <c r="D234" s="1" t="s">
        <v>1045</v>
      </c>
      <c r="E234" s="1" t="s">
        <v>2993</v>
      </c>
      <c r="F234" s="1" t="s">
        <v>2994</v>
      </c>
      <c r="G234" s="1" t="s">
        <v>2995</v>
      </c>
      <c r="H234" s="1" t="s">
        <v>1045</v>
      </c>
      <c r="I234" s="1" t="s">
        <v>219</v>
      </c>
      <c r="J234" s="1" t="s">
        <v>2993</v>
      </c>
      <c r="K234" s="1">
        <v>171</v>
      </c>
    </row>
    <row r="235" spans="1:11" ht="47.25" x14ac:dyDescent="0.2">
      <c r="A235" s="1" t="s">
        <v>931</v>
      </c>
      <c r="B235" s="1">
        <v>7</v>
      </c>
      <c r="C235" s="1" t="s">
        <v>960</v>
      </c>
      <c r="D235" s="1" t="s">
        <v>1112</v>
      </c>
      <c r="E235" s="53" t="s">
        <v>3167</v>
      </c>
      <c r="F235" s="1" t="s">
        <v>2654</v>
      </c>
      <c r="G235" s="1" t="s">
        <v>2996</v>
      </c>
      <c r="H235" s="1" t="s">
        <v>2654</v>
      </c>
      <c r="I235" s="1" t="s">
        <v>94</v>
      </c>
      <c r="J235" s="1" t="s">
        <v>2996</v>
      </c>
      <c r="K235" s="1">
        <v>210</v>
      </c>
    </row>
    <row r="236" spans="1:11" ht="57" x14ac:dyDescent="0.2">
      <c r="A236" s="1" t="s">
        <v>931</v>
      </c>
      <c r="B236" s="1">
        <v>8</v>
      </c>
      <c r="C236" s="1" t="s">
        <v>945</v>
      </c>
      <c r="D236" s="1" t="s">
        <v>2542</v>
      </c>
      <c r="E236" s="1" t="s">
        <v>2997</v>
      </c>
      <c r="F236" s="1" t="s">
        <v>2998</v>
      </c>
      <c r="G236" s="1" t="s">
        <v>2999</v>
      </c>
      <c r="H236" s="1" t="s">
        <v>870</v>
      </c>
      <c r="I236" s="1" t="s">
        <v>88</v>
      </c>
      <c r="J236" s="1" t="s">
        <v>3000</v>
      </c>
      <c r="K236" s="1">
        <v>161</v>
      </c>
    </row>
    <row r="237" spans="1:11" ht="42.75" x14ac:dyDescent="0.2">
      <c r="A237" s="1" t="s">
        <v>931</v>
      </c>
      <c r="B237" s="1">
        <v>8</v>
      </c>
      <c r="C237" s="1" t="s">
        <v>955</v>
      </c>
      <c r="D237" s="1" t="s">
        <v>2531</v>
      </c>
      <c r="E237" s="1" t="s">
        <v>3001</v>
      </c>
      <c r="F237" s="1" t="s">
        <v>2986</v>
      </c>
      <c r="G237" s="1" t="s">
        <v>3002</v>
      </c>
      <c r="H237" s="1" t="s">
        <v>2986</v>
      </c>
      <c r="I237" s="1" t="s">
        <v>88</v>
      </c>
      <c r="J237" s="1" t="s">
        <v>3002</v>
      </c>
      <c r="K237" s="1">
        <v>207</v>
      </c>
    </row>
    <row r="238" spans="1:11" ht="42.75" x14ac:dyDescent="0.2">
      <c r="A238" s="1" t="s">
        <v>931</v>
      </c>
      <c r="B238" s="1">
        <v>8</v>
      </c>
      <c r="C238" s="1" t="s">
        <v>964</v>
      </c>
      <c r="D238" s="1" t="s">
        <v>1233</v>
      </c>
      <c r="E238" s="1" t="s">
        <v>3003</v>
      </c>
      <c r="F238" s="1" t="s">
        <v>2743</v>
      </c>
      <c r="G238" s="1" t="s">
        <v>3004</v>
      </c>
      <c r="H238" s="1" t="s">
        <v>1233</v>
      </c>
      <c r="I238" s="1" t="s">
        <v>94</v>
      </c>
      <c r="J238" s="1" t="s">
        <v>3003</v>
      </c>
      <c r="K238" s="1">
        <v>219</v>
      </c>
    </row>
    <row r="239" spans="1:11" ht="42.75" x14ac:dyDescent="0.2">
      <c r="A239" s="1" t="s">
        <v>971</v>
      </c>
      <c r="B239" s="1">
        <v>6</v>
      </c>
      <c r="C239" s="1" t="s">
        <v>3005</v>
      </c>
      <c r="D239" s="1" t="s">
        <v>2340</v>
      </c>
      <c r="E239" s="1" t="s">
        <v>3006</v>
      </c>
      <c r="F239" s="1" t="s">
        <v>2583</v>
      </c>
      <c r="G239" s="1" t="s">
        <v>3007</v>
      </c>
      <c r="H239" s="1" t="s">
        <v>2583</v>
      </c>
      <c r="I239" s="1" t="s">
        <v>88</v>
      </c>
      <c r="J239" s="1" t="s">
        <v>3007</v>
      </c>
      <c r="K239" s="1">
        <v>178</v>
      </c>
    </row>
    <row r="240" spans="1:11" ht="42.75" x14ac:dyDescent="0.2">
      <c r="A240" s="1" t="s">
        <v>971</v>
      </c>
      <c r="B240" s="1">
        <v>6</v>
      </c>
      <c r="C240" s="1" t="s">
        <v>3008</v>
      </c>
      <c r="D240" s="1" t="s">
        <v>2852</v>
      </c>
      <c r="E240" s="1" t="s">
        <v>3009</v>
      </c>
      <c r="F240" s="1" t="s">
        <v>2600</v>
      </c>
      <c r="G240" s="1" t="s">
        <v>3010</v>
      </c>
      <c r="H240" s="1" t="s">
        <v>2852</v>
      </c>
      <c r="I240" s="1" t="s">
        <v>88</v>
      </c>
      <c r="J240" s="1" t="s">
        <v>3011</v>
      </c>
      <c r="K240" s="1">
        <v>117</v>
      </c>
    </row>
    <row r="241" spans="1:12" ht="42.75" x14ac:dyDescent="0.2">
      <c r="A241" s="1" t="s">
        <v>971</v>
      </c>
      <c r="B241" s="1">
        <v>7</v>
      </c>
      <c r="C241" s="1" t="s">
        <v>976</v>
      </c>
      <c r="D241" s="1" t="s">
        <v>3012</v>
      </c>
      <c r="E241" s="1" t="s">
        <v>3013</v>
      </c>
      <c r="F241" s="1" t="s">
        <v>1102</v>
      </c>
      <c r="G241" s="1" t="s">
        <v>3014</v>
      </c>
      <c r="H241" s="1" t="s">
        <v>3012</v>
      </c>
      <c r="I241" s="1" t="s">
        <v>94</v>
      </c>
      <c r="J241" s="1" t="s">
        <v>3013</v>
      </c>
      <c r="K241" s="1">
        <v>183</v>
      </c>
    </row>
    <row r="242" spans="1:12" ht="42.75" x14ac:dyDescent="0.2">
      <c r="A242" s="1" t="s">
        <v>971</v>
      </c>
      <c r="B242" s="1">
        <v>7</v>
      </c>
      <c r="C242" s="1" t="s">
        <v>980</v>
      </c>
      <c r="D242" s="1" t="s">
        <v>2588</v>
      </c>
      <c r="E242" s="1" t="s">
        <v>3015</v>
      </c>
      <c r="F242" s="1" t="s">
        <v>3016</v>
      </c>
      <c r="G242" s="1" t="s">
        <v>3017</v>
      </c>
      <c r="H242" s="1" t="s">
        <v>2588</v>
      </c>
      <c r="I242" s="1" t="s">
        <v>88</v>
      </c>
      <c r="J242" s="1" t="s">
        <v>3015</v>
      </c>
      <c r="K242" s="1">
        <v>144</v>
      </c>
    </row>
    <row r="243" spans="1:12" ht="28.5" x14ac:dyDescent="0.2">
      <c r="A243" s="1" t="s">
        <v>971</v>
      </c>
      <c r="B243" s="1">
        <v>7</v>
      </c>
      <c r="C243" s="1" t="s">
        <v>972</v>
      </c>
      <c r="D243" s="1" t="str">
        <f>VLOOKUP(C243,[1]泡!$C:$D,2,0)</f>
        <v>A170</v>
      </c>
      <c r="E243" s="1" t="str">
        <f>VLOOKUP(C243,[1]泡!$C:$E,3,0)</f>
        <v>A：左绿条后爆右下4单点（存）
E：左上角9单点</v>
      </c>
      <c r="F243" s="1" t="str">
        <f>VLOOKUP(C243,[1]泡!$C:$F,4,0)</f>
        <v>B204</v>
      </c>
      <c r="G243" s="1" t="str">
        <f>VLOOKUP(C243,[1]泡!$C:$G,5,0)</f>
        <v>B：左上8单点
E：左10绿条</v>
      </c>
      <c r="H243" s="1" t="str">
        <f>VLOOKUP(C243,[1]泡!$C:$H,6,0)</f>
        <v>B214</v>
      </c>
      <c r="I243" s="1" t="str">
        <f>VLOOKUP(C243,[1]泡!$C:$I,7,0)</f>
        <v>极限</v>
      </c>
      <c r="J243" s="1" t="str">
        <f>VLOOKUP(C243,[1]泡!$C:$J,8,0)</f>
        <v>B：下方4单点
E：10绿条</v>
      </c>
      <c r="K243" s="1">
        <f>VLOOKUP(C243,[1]泡!$C:$K,9,0)</f>
        <v>183</v>
      </c>
    </row>
    <row r="244" spans="1:12" ht="42.75" x14ac:dyDescent="0.2">
      <c r="A244" s="1" t="s">
        <v>971</v>
      </c>
      <c r="B244" s="1">
        <v>8</v>
      </c>
      <c r="C244" s="1" t="s">
        <v>988</v>
      </c>
      <c r="D244" s="1" t="s">
        <v>661</v>
      </c>
      <c r="E244" s="53" t="s">
        <v>3171</v>
      </c>
      <c r="F244" s="1" t="s">
        <v>2213</v>
      </c>
      <c r="G244" s="53" t="s">
        <v>3172</v>
      </c>
      <c r="H244" s="1" t="s">
        <v>1259</v>
      </c>
      <c r="I244" s="1" t="s">
        <v>94</v>
      </c>
      <c r="J244" s="53" t="s">
        <v>3173</v>
      </c>
      <c r="K244" s="1">
        <v>272</v>
      </c>
    </row>
    <row r="245" spans="1:12" ht="57" x14ac:dyDescent="0.2">
      <c r="A245" s="1" t="s">
        <v>971</v>
      </c>
      <c r="B245" s="1">
        <v>9</v>
      </c>
      <c r="C245" s="1" t="s">
        <v>984</v>
      </c>
      <c r="D245" s="1" t="s">
        <v>815</v>
      </c>
      <c r="E245" s="1" t="s">
        <v>3018</v>
      </c>
      <c r="F245" s="1" t="s">
        <v>3019</v>
      </c>
      <c r="G245" s="1" t="s">
        <v>3020</v>
      </c>
      <c r="H245" s="1" t="s">
        <v>815</v>
      </c>
      <c r="I245" s="1" t="s">
        <v>94</v>
      </c>
      <c r="J245" s="1" t="s">
        <v>3018</v>
      </c>
      <c r="K245" s="1">
        <v>219</v>
      </c>
    </row>
    <row r="246" spans="1:12" ht="57" x14ac:dyDescent="0.2">
      <c r="A246" s="1" t="s">
        <v>971</v>
      </c>
      <c r="B246" s="1">
        <v>10</v>
      </c>
      <c r="C246" s="1" t="s">
        <v>993</v>
      </c>
      <c r="D246" s="1" t="s">
        <v>3021</v>
      </c>
      <c r="E246" s="1" t="s">
        <v>3022</v>
      </c>
      <c r="F246" s="1" t="s">
        <v>3023</v>
      </c>
      <c r="G246" s="1" t="s">
        <v>3024</v>
      </c>
      <c r="H246" s="1" t="s">
        <v>3021</v>
      </c>
      <c r="I246" s="1" t="s">
        <v>94</v>
      </c>
      <c r="J246" s="1" t="s">
        <v>3022</v>
      </c>
      <c r="K246" s="1">
        <v>272</v>
      </c>
    </row>
    <row r="247" spans="1:12" ht="42.75" x14ac:dyDescent="0.2">
      <c r="A247" s="1" t="s">
        <v>971</v>
      </c>
      <c r="B247" s="1">
        <v>10</v>
      </c>
      <c r="C247" s="1" t="s">
        <v>1749</v>
      </c>
      <c r="D247" s="1" t="s">
        <v>364</v>
      </c>
      <c r="E247" s="1" t="s">
        <v>3157</v>
      </c>
      <c r="F247" s="1" t="s">
        <v>2569</v>
      </c>
      <c r="G247" s="1" t="s">
        <v>3162</v>
      </c>
      <c r="H247" s="1" t="s">
        <v>364</v>
      </c>
      <c r="I247" s="1" t="s">
        <v>88</v>
      </c>
      <c r="J247" s="1" t="s">
        <v>3157</v>
      </c>
      <c r="K247" s="1">
        <v>240</v>
      </c>
    </row>
    <row r="248" spans="1:12" ht="42.75" x14ac:dyDescent="0.2">
      <c r="A248" s="1" t="s">
        <v>1000</v>
      </c>
      <c r="B248" s="1">
        <v>6</v>
      </c>
      <c r="C248" s="1" t="s">
        <v>3025</v>
      </c>
      <c r="D248" s="1" t="s">
        <v>3076</v>
      </c>
      <c r="E248" s="1" t="s">
        <v>3145</v>
      </c>
      <c r="F248" s="1" t="s">
        <v>1251</v>
      </c>
      <c r="G248" s="1" t="s">
        <v>3146</v>
      </c>
      <c r="H248" s="1" t="s">
        <v>3076</v>
      </c>
      <c r="I248" s="1" t="s">
        <v>3068</v>
      </c>
      <c r="J248" s="1" t="s">
        <v>3145</v>
      </c>
      <c r="K248" s="1">
        <v>174</v>
      </c>
      <c r="L248" s="1">
        <v>1</v>
      </c>
    </row>
    <row r="249" spans="1:12" ht="42.75" x14ac:dyDescent="0.2">
      <c r="A249" s="1" t="s">
        <v>1000</v>
      </c>
      <c r="B249" s="1">
        <v>6</v>
      </c>
      <c r="C249" s="1" t="s">
        <v>3026</v>
      </c>
      <c r="D249" s="1" t="s">
        <v>3027</v>
      </c>
      <c r="E249" s="1" t="s">
        <v>3028</v>
      </c>
      <c r="F249" s="1" t="s">
        <v>3029</v>
      </c>
      <c r="G249" s="1" t="s">
        <v>3030</v>
      </c>
      <c r="H249" s="1" t="s">
        <v>3031</v>
      </c>
      <c r="I249" s="1" t="s">
        <v>88</v>
      </c>
      <c r="J249" s="1" t="s">
        <v>3032</v>
      </c>
      <c r="K249" s="1">
        <v>69</v>
      </c>
    </row>
    <row r="250" spans="1:12" ht="42.75" x14ac:dyDescent="0.2">
      <c r="A250" s="1" t="s">
        <v>1000</v>
      </c>
      <c r="B250" s="1">
        <v>7</v>
      </c>
      <c r="C250" s="1" t="s">
        <v>1006</v>
      </c>
      <c r="D250" s="1" t="s">
        <v>1513</v>
      </c>
      <c r="E250" s="1" t="s">
        <v>3033</v>
      </c>
      <c r="F250" s="1" t="s">
        <v>1660</v>
      </c>
      <c r="G250" s="1" t="s">
        <v>3034</v>
      </c>
      <c r="H250" s="1" t="s">
        <v>1513</v>
      </c>
      <c r="I250" s="1" t="s">
        <v>94</v>
      </c>
      <c r="J250" s="1" t="s">
        <v>3033</v>
      </c>
      <c r="K250" s="1">
        <v>187</v>
      </c>
    </row>
    <row r="251" spans="1:12" ht="57" x14ac:dyDescent="0.2">
      <c r="A251" s="1" t="s">
        <v>1000</v>
      </c>
      <c r="B251" s="1">
        <v>7</v>
      </c>
      <c r="C251" s="1" t="s">
        <v>3035</v>
      </c>
      <c r="D251" s="1" t="s">
        <v>1718</v>
      </c>
      <c r="E251" s="1" t="s">
        <v>3036</v>
      </c>
      <c r="F251" s="1" t="s">
        <v>1410</v>
      </c>
      <c r="G251" s="1" t="s">
        <v>3037</v>
      </c>
      <c r="H251" s="1" t="s">
        <v>1718</v>
      </c>
      <c r="I251" s="1" t="s">
        <v>219</v>
      </c>
      <c r="J251" s="1" t="s">
        <v>3036</v>
      </c>
      <c r="K251" s="1">
        <v>223</v>
      </c>
    </row>
    <row r="252" spans="1:12" ht="42.75" x14ac:dyDescent="0.2">
      <c r="A252" s="1" t="s">
        <v>1000</v>
      </c>
      <c r="B252" s="1">
        <v>7</v>
      </c>
      <c r="C252" s="1" t="s">
        <v>1001</v>
      </c>
      <c r="D252" s="1" t="s">
        <v>826</v>
      </c>
      <c r="E252" s="1" t="s">
        <v>3038</v>
      </c>
      <c r="F252" s="1" t="s">
        <v>3039</v>
      </c>
      <c r="G252" s="1" t="s">
        <v>3040</v>
      </c>
      <c r="H252" s="1" t="s">
        <v>3039</v>
      </c>
      <c r="I252" s="1" t="s">
        <v>88</v>
      </c>
      <c r="J252" s="1" t="s">
        <v>3040</v>
      </c>
      <c r="K252" s="1">
        <v>188</v>
      </c>
    </row>
    <row r="253" spans="1:12" ht="57" x14ac:dyDescent="0.2">
      <c r="A253" s="1" t="s">
        <v>1000</v>
      </c>
      <c r="B253" s="1">
        <v>7</v>
      </c>
      <c r="C253" s="1" t="s">
        <v>1011</v>
      </c>
      <c r="D253" s="1" t="s">
        <v>2679</v>
      </c>
      <c r="E253" s="1" t="s">
        <v>3041</v>
      </c>
      <c r="F253" s="1" t="s">
        <v>2676</v>
      </c>
      <c r="G253" s="1" t="s">
        <v>3042</v>
      </c>
      <c r="H253" s="1" t="s">
        <v>2676</v>
      </c>
      <c r="I253" s="1" t="s">
        <v>88</v>
      </c>
      <c r="J253" s="1" t="s">
        <v>3042</v>
      </c>
      <c r="K253" s="1">
        <v>207</v>
      </c>
    </row>
    <row r="254" spans="1:12" ht="42.75" x14ac:dyDescent="0.2">
      <c r="A254" s="1" t="s">
        <v>1000</v>
      </c>
      <c r="B254" s="1">
        <v>10</v>
      </c>
      <c r="C254" s="1" t="s">
        <v>2456</v>
      </c>
      <c r="D254" s="1" t="s">
        <v>2720</v>
      </c>
      <c r="E254" s="1" t="s">
        <v>3043</v>
      </c>
      <c r="F254" s="1" t="s">
        <v>2631</v>
      </c>
      <c r="G254" s="1" t="s">
        <v>3044</v>
      </c>
      <c r="H254" s="1" t="s">
        <v>1518</v>
      </c>
      <c r="I254" s="1" t="s">
        <v>94</v>
      </c>
      <c r="J254" s="1" t="s">
        <v>3045</v>
      </c>
      <c r="K254" s="1">
        <v>281</v>
      </c>
    </row>
  </sheetData>
  <autoFilter ref="A1:L254" xr:uid="{70367BFA-7E90-4073-94B6-64EB70A741B1}"/>
  <phoneticPr fontId="19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团队临时自用禁外传</vt:lpstr>
      <vt:lpstr>星</vt:lpstr>
      <vt:lpstr>弹</vt:lpstr>
      <vt:lpstr>弦</vt:lpstr>
      <vt:lpstr>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曹思嘉</dc:creator>
  <cp:lastModifiedBy>GAO</cp:lastModifiedBy>
  <dcterms:created xsi:type="dcterms:W3CDTF">2020-09-29T14:35:54Z</dcterms:created>
  <dcterms:modified xsi:type="dcterms:W3CDTF">2020-10-04T09:23:33Z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